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output_17-09-2025_01-32\"/>
    </mc:Choice>
  </mc:AlternateContent>
  <bookViews>
    <workbookView xWindow="0" yWindow="0" windowWidth="28800" windowHeight="12315" activeTab="8"/>
  </bookViews>
  <sheets>
    <sheet name="Shri 11" sheetId="1" r:id="rId1"/>
    <sheet name="Shri 13" sheetId="2" r:id="rId2"/>
    <sheet name="Shri 38" sheetId="3" r:id="rId3"/>
    <sheet name="Shri 52" sheetId="4" r:id="rId4"/>
    <sheet name="Shri 82" sheetId="5" r:id="rId5"/>
    <sheet name="Shri 12" sheetId="6" r:id="rId6"/>
    <sheet name="Shri 26" sheetId="7" r:id="rId7"/>
    <sheet name="Shri 35" sheetId="8" r:id="rId8"/>
    <sheet name="Shri 31" sheetId="9" r:id="rId9"/>
  </sheets>
  <definedNames>
    <definedName name="_xlnm.Print_Area" localSheetId="0">'Shri 11'!$A$1:$E$36</definedName>
    <definedName name="_xlnm.Print_Area" localSheetId="5">'Shri 12'!$A$1:$E$36</definedName>
    <definedName name="_xlnm.Print_Area" localSheetId="1">'Shri 13'!$A$1:$E$36</definedName>
    <definedName name="_xlnm.Print_Area" localSheetId="6">'Shri 26'!$A$1:$E$36</definedName>
    <definedName name="_xlnm.Print_Area" localSheetId="8">'Shri 31'!$A$1:$E$36</definedName>
    <definedName name="_xlnm.Print_Area" localSheetId="7">'Shri 35'!$A$1:$E$36</definedName>
    <definedName name="_xlnm.Print_Area" localSheetId="2">'Shri 38'!$A$1:$E$36</definedName>
    <definedName name="_xlnm.Print_Area" localSheetId="3">'Shri 52'!$A$1:$E$36</definedName>
    <definedName name="_xlnm.Print_Area" localSheetId="4">'Shri 82'!$A$1:$E$36</definedName>
  </definedNames>
  <calcPr calcId="152511"/>
</workbook>
</file>

<file path=xl/calcChain.xml><?xml version="1.0" encoding="utf-8"?>
<calcChain xmlns="http://schemas.openxmlformats.org/spreadsheetml/2006/main">
  <c r="E26" i="8" l="1"/>
  <c r="E3" i="8" s="1"/>
  <c r="E26" i="7"/>
  <c r="E3" i="7" s="1"/>
  <c r="E26" i="6"/>
  <c r="E3" i="6"/>
  <c r="E26" i="5"/>
  <c r="E3" i="5" s="1"/>
  <c r="E26" i="4"/>
  <c r="E3" i="4" s="1"/>
  <c r="E26" i="3"/>
  <c r="E3" i="3" s="1"/>
  <c r="E26" i="2"/>
  <c r="E3" i="2" s="1"/>
  <c r="E26" i="1"/>
  <c r="E3" i="1"/>
  <c r="E3" i="9"/>
  <c r="E26" i="9"/>
</calcChain>
</file>

<file path=xl/sharedStrings.xml><?xml version="1.0" encoding="utf-8"?>
<sst xmlns="http://schemas.openxmlformats.org/spreadsheetml/2006/main" count="430" uniqueCount="96">
  <si>
    <t>ORDER FOR REFUND OF SECURITY DEPOSIT [RWMF 119]</t>
  </si>
  <si>
    <t>1. Name of Contractor:</t>
  </si>
  <si>
    <t>Shri Balaji Electrical</t>
  </si>
  <si>
    <t>2. Amount of Deposit: ₹</t>
  </si>
  <si>
    <t>3. Name of Work: Electric maintenance work in Lt shri khemraj katara rajkiye sattelite chiktsalay hiran magri udaipur</t>
  </si>
  <si>
    <t>4. Agreement No.:</t>
  </si>
  <si>
    <t>11/2023-24</t>
  </si>
  <si>
    <t>5. Reference for granting refunds:</t>
  </si>
  <si>
    <t>6. Date of Commencement:</t>
  </si>
  <si>
    <t>19/08/2023</t>
  </si>
  <si>
    <t>7. Stipulated date of Completion:</t>
  </si>
  <si>
    <t>18/10/2023</t>
  </si>
  <si>
    <t>8. Actual Date of Completion:</t>
  </si>
  <si>
    <t>9. MB No.:</t>
  </si>
  <si>
    <t>10. Date of Payment of final bill:</t>
  </si>
  <si>
    <t>11. Date of Expiry of 3/6 months/DLP:</t>
  </si>
  <si>
    <t>18/04/2024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</si>
  <si>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</si>
  <si>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</si>
  <si>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</si>
  <si>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</si>
  <si>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</si>
  <si>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</si>
  <si>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</si>
  <si>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</si>
  <si>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</si>
  <si>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</si>
  <si>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</si>
  <si>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</si>
  <si>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</si>
  <si>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Voucher No.- 78386 Date 22-03-2024</t>
  </si>
  <si>
    <t>SD</t>
  </si>
  <si>
    <t>Total:</t>
  </si>
  <si>
    <t>Certified That:-</t>
  </si>
  <si>
    <t>1. The Work has been completed as per G-schedule.</t>
  </si>
  <si>
    <t>2. The work has been inspected by the undersigned as on and it stood satisfactory.</t>
  </si>
  <si>
    <t>3. No Defect found during DLP Period.</t>
  </si>
  <si>
    <t>4. The final time extension granted upto With/without compensation by the competent authority.</t>
  </si>
  <si>
    <t>5. The defects pointed out by higher authorities or other authorized authorities during inspection etc have been removed by the contractor and compliance has been refund.</t>
  </si>
  <si>
    <t>Divisional Accountant</t>
  </si>
  <si>
    <t>Assistant Engineer</t>
  </si>
  <si>
    <t>Executive Engineer</t>
  </si>
  <si>
    <t>PWD Electric Div.- Udaipur</t>
  </si>
  <si>
    <t>3. Name of Work: Electric Maintenance Work in Shree Sundersingh Bhandari rajkiya jila chikitsalay ambamata Udaipur</t>
  </si>
  <si>
    <t>13/2023-24</t>
  </si>
  <si>
    <t>25/08/2023</t>
  </si>
  <si>
    <t>24/10/2023</t>
  </si>
  <si>
    <t>02/01/2024</t>
  </si>
  <si>
    <t>02/07/2024</t>
  </si>
  <si>
    <t>Voucher No.- 75793 Date 18-03-2024</t>
  </si>
  <si>
    <t>3. Name of Work: Electric Repair &amp; Maintenance Work at DJ Court Campus Udaipur</t>
  </si>
  <si>
    <t>38/2024-25</t>
  </si>
  <si>
    <t>21/12/2024</t>
  </si>
  <si>
    <t>20/04/2025</t>
  </si>
  <si>
    <t>22/03/2025</t>
  </si>
  <si>
    <t>22/09/2025</t>
  </si>
  <si>
    <t>Voucher No.- 82655 Date 03-12-2025</t>
  </si>
  <si>
    <t>Voucher No.- 91888 Date 31-03-2025</t>
  </si>
  <si>
    <t>MD-V</t>
  </si>
  <si>
    <t>3. Name of Work: Electric repair and maintenance work in Administrative Building at Police thana Dhan Mandi Udaipur</t>
  </si>
  <si>
    <t>52/2024-25</t>
  </si>
  <si>
    <t>21/01/2025</t>
  </si>
  <si>
    <t>20/03/2025</t>
  </si>
  <si>
    <t>20/09/2025</t>
  </si>
  <si>
    <t>Voucher No.- 91880 Date 31-03-2025</t>
  </si>
  <si>
    <t>3. Name of Work: TransformeR.S.hifting and Cabling Work in Intern Hostel at RNT Medical College Udaipur</t>
  </si>
  <si>
    <t>82/2024-25</t>
  </si>
  <si>
    <t>01/03/2025</t>
  </si>
  <si>
    <t>31/03/2025</t>
  </si>
  <si>
    <t>28/03/2025</t>
  </si>
  <si>
    <t>28/09/2025</t>
  </si>
  <si>
    <t>Voucher No.- 92193 Date 31-03-2025</t>
  </si>
  <si>
    <t>3. Name of Work: Electrical maintenace work in Govt Satelite hospital hiran magri Udaipur</t>
  </si>
  <si>
    <t>12/023-24</t>
  </si>
  <si>
    <t>15/10/2023</t>
  </si>
  <si>
    <t>15/04/2024</t>
  </si>
  <si>
    <t>Voucher No.- 75797 Date 18-03-2024</t>
  </si>
  <si>
    <t>3. Name of Work: Electric repair and maintenace work im Janana OT cottage wards and Existing at MBGH Campus Udaipur</t>
  </si>
  <si>
    <t>26/2023-24</t>
  </si>
  <si>
    <t>10/09/2023</t>
  </si>
  <si>
    <t>09/03/2024</t>
  </si>
  <si>
    <t>25/02/2024</t>
  </si>
  <si>
    <t>25/08/2024</t>
  </si>
  <si>
    <t>Voucher No.- 22133 Date 16-07-2024</t>
  </si>
  <si>
    <t>Voucher No.- 62652 Date 31-01-2024</t>
  </si>
  <si>
    <t>3. Name of Work: Electric Work on Facade Non Residential Building for Upcoming Rising Rajsathan, Summit 2024, Udaipur</t>
  </si>
  <si>
    <t>35/2024-25</t>
  </si>
  <si>
    <t>22/11/2024</t>
  </si>
  <si>
    <t>07/12/2024</t>
  </si>
  <si>
    <t>07/06/2025</t>
  </si>
  <si>
    <t>Voucher No.- 84305 Date 18-03-2025</t>
  </si>
  <si>
    <t>3. Name of Work: Electric Work on Facade Residential Building for Upcoming Rising Rajasthan, Summit 2024 Udaipur</t>
  </si>
  <si>
    <t>31/2024-25</t>
  </si>
  <si>
    <t>Voucher No.- 84304 Date 18-03-2025</t>
  </si>
  <si>
    <t>Voucher No.- 84303 Date 18-03-2025</t>
  </si>
  <si>
    <t>Voucher No.- 84302 Date 18-03-2025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</si>
</sst>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00008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29280</v>
      </c>
    </row>
    <row r="4" spans="1:5" ht="32.1" customHeight="1" x14ac:dyDescent="0.25">
      <c r="A4" s="15" t="s">
        <v>4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11</v>
      </c>
    </row>
    <row r="9" spans="1:5" ht="20.100000000000001" customHeight="1" x14ac:dyDescent="0.25">
      <c r="A9" s="1" t="s">
        <v>12</v>
      </c>
      <c r="E9" s="2" t="s">
        <v>11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16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30</v>
      </c>
      <c r="B21" s="14"/>
      <c r="C21" s="6"/>
      <c r="D21" s="6" t="s">
        <v>31</v>
      </c>
      <c r="E21" s="6">
        <v>29280</v>
      </c>
    </row>
    <row r="22" spans="1:5" ht="20.100000000000001" customHeight="1" x14ac:dyDescent="0.25">
      <c r="A22" s="16"/>
      <c r="B22" s="14"/>
      <c r="C22" s="6"/>
      <c r="D22" s="6"/>
      <c r="E22" s="6"/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SUM(E21:E21)</f>
        <v>29280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9038</v>
      </c>
    </row>
    <row r="4" spans="1:5" ht="32.1" customHeight="1" x14ac:dyDescent="0.25">
      <c r="A4" s="15" t="s">
        <v>43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44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45</v>
      </c>
    </row>
    <row r="8" spans="1:5" ht="20.100000000000001" customHeight="1" x14ac:dyDescent="0.25">
      <c r="A8" s="1" t="s">
        <v>10</v>
      </c>
      <c r="E8" s="2" t="s">
        <v>46</v>
      </c>
    </row>
    <row r="9" spans="1:5" ht="20.100000000000001" customHeight="1" x14ac:dyDescent="0.25">
      <c r="A9" s="1" t="s">
        <v>12</v>
      </c>
      <c r="E9" s="2" t="s">
        <v>47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48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49</v>
      </c>
      <c r="B21" s="14"/>
      <c r="C21" s="6"/>
      <c r="D21" s="6" t="s">
        <v>31</v>
      </c>
      <c r="E21" s="6">
        <v>9038</v>
      </c>
    </row>
    <row r="22" spans="1:5" ht="20.100000000000001" customHeight="1" x14ac:dyDescent="0.25">
      <c r="A22" s="16"/>
      <c r="B22" s="14"/>
      <c r="C22" s="6"/>
      <c r="D22" s="6"/>
      <c r="E22" s="6"/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SUM(E21:E21)</f>
        <v>9038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271772</v>
      </c>
    </row>
    <row r="4" spans="1:5" ht="32.1" customHeight="1" x14ac:dyDescent="0.25">
      <c r="A4" s="15" t="s">
        <v>50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51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52</v>
      </c>
    </row>
    <row r="8" spans="1:5" ht="20.100000000000001" customHeight="1" x14ac:dyDescent="0.25">
      <c r="A8" s="1" t="s">
        <v>10</v>
      </c>
      <c r="E8" s="2" t="s">
        <v>53</v>
      </c>
    </row>
    <row r="9" spans="1:5" ht="20.100000000000001" customHeight="1" x14ac:dyDescent="0.25">
      <c r="A9" s="1" t="s">
        <v>12</v>
      </c>
      <c r="E9" s="2" t="s">
        <v>54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55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56</v>
      </c>
      <c r="B21" s="14"/>
      <c r="C21" s="6"/>
      <c r="D21" s="6" t="s">
        <v>31</v>
      </c>
      <c r="E21" s="6">
        <v>20342</v>
      </c>
    </row>
    <row r="22" spans="1:5" ht="36" customHeight="1" x14ac:dyDescent="0.25">
      <c r="A22" s="13" t="s">
        <v>57</v>
      </c>
      <c r="B22" s="14"/>
      <c r="C22" s="6"/>
      <c r="D22" s="6" t="s">
        <v>31</v>
      </c>
      <c r="E22" s="6">
        <v>38011</v>
      </c>
    </row>
    <row r="23" spans="1:5" ht="36" customHeight="1" x14ac:dyDescent="0.25">
      <c r="A23" s="13" t="s">
        <v>56</v>
      </c>
      <c r="B23" s="14"/>
      <c r="C23" s="6"/>
      <c r="D23" s="6" t="s">
        <v>58</v>
      </c>
      <c r="E23" s="6">
        <v>203419</v>
      </c>
    </row>
    <row r="24" spans="1:5" ht="36" customHeight="1" x14ac:dyDescent="0.25">
      <c r="A24" s="13" t="s">
        <v>57</v>
      </c>
      <c r="B24" s="14"/>
      <c r="C24" s="6"/>
      <c r="D24" s="6" t="s">
        <v>58</v>
      </c>
      <c r="E24" s="6">
        <v>10000</v>
      </c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SUM(E21:E24)</f>
        <v>271772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25027</v>
      </c>
    </row>
    <row r="4" spans="1:5" ht="32.1" customHeight="1" x14ac:dyDescent="0.25">
      <c r="A4" s="15" t="s">
        <v>59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60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61</v>
      </c>
    </row>
    <row r="8" spans="1:5" ht="20.100000000000001" customHeight="1" x14ac:dyDescent="0.25">
      <c r="A8" s="1" t="s">
        <v>10</v>
      </c>
      <c r="E8" s="2" t="s">
        <v>62</v>
      </c>
    </row>
    <row r="9" spans="1:5" ht="20.100000000000001" customHeight="1" x14ac:dyDescent="0.25">
      <c r="A9" s="1" t="s">
        <v>12</v>
      </c>
      <c r="E9" s="2" t="s">
        <v>62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63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64</v>
      </c>
      <c r="B21" s="14"/>
      <c r="C21" s="6"/>
      <c r="D21" s="6" t="s">
        <v>31</v>
      </c>
      <c r="E21" s="6">
        <v>15027</v>
      </c>
    </row>
    <row r="22" spans="1:5" ht="36" customHeight="1" x14ac:dyDescent="0.25">
      <c r="A22" s="13" t="s">
        <v>64</v>
      </c>
      <c r="B22" s="14"/>
      <c r="C22" s="6"/>
      <c r="D22" s="6" t="s">
        <v>58</v>
      </c>
      <c r="E22" s="6">
        <v>10000</v>
      </c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SUM(E21:E22)</f>
        <v>25027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42756</v>
      </c>
    </row>
    <row r="4" spans="1:5" ht="32.1" customHeight="1" x14ac:dyDescent="0.25">
      <c r="A4" s="15" t="s">
        <v>65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66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67</v>
      </c>
    </row>
    <row r="8" spans="1:5" ht="20.100000000000001" customHeight="1" x14ac:dyDescent="0.25">
      <c r="A8" s="1" t="s">
        <v>10</v>
      </c>
      <c r="E8" s="2" t="s">
        <v>68</v>
      </c>
    </row>
    <row r="9" spans="1:5" ht="20.100000000000001" customHeight="1" x14ac:dyDescent="0.25">
      <c r="A9" s="1" t="s">
        <v>12</v>
      </c>
      <c r="E9" s="2" t="s">
        <v>69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70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71</v>
      </c>
      <c r="B21" s="14"/>
      <c r="C21" s="6"/>
      <c r="D21" s="6" t="s">
        <v>31</v>
      </c>
      <c r="E21" s="6">
        <v>32756</v>
      </c>
    </row>
    <row r="22" spans="1:5" ht="36" customHeight="1" x14ac:dyDescent="0.25">
      <c r="A22" s="13" t="s">
        <v>71</v>
      </c>
      <c r="B22" s="14"/>
      <c r="C22" s="6"/>
      <c r="D22" s="6" t="s">
        <v>58</v>
      </c>
      <c r="E22" s="6">
        <v>10000</v>
      </c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SUM(E21:E22)</f>
        <v>42756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15044</v>
      </c>
    </row>
    <row r="4" spans="1:5" ht="32.1" customHeight="1" x14ac:dyDescent="0.25">
      <c r="A4" s="15" t="s">
        <v>72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73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11</v>
      </c>
    </row>
    <row r="9" spans="1:5" ht="20.100000000000001" customHeight="1" x14ac:dyDescent="0.25">
      <c r="A9" s="1" t="s">
        <v>12</v>
      </c>
      <c r="E9" s="2" t="s">
        <v>74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75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76</v>
      </c>
      <c r="B21" s="14"/>
      <c r="C21" s="6"/>
      <c r="D21" s="6" t="s">
        <v>31</v>
      </c>
      <c r="E21" s="6">
        <v>15044</v>
      </c>
    </row>
    <row r="22" spans="1:5" ht="20.100000000000001" customHeight="1" x14ac:dyDescent="0.25">
      <c r="A22" s="16"/>
      <c r="B22" s="14"/>
      <c r="C22" s="6"/>
      <c r="D22" s="6"/>
      <c r="E22" s="6"/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SUM(E21:E21)</f>
        <v>15044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353418</v>
      </c>
    </row>
    <row r="4" spans="1:5" ht="32.1" customHeight="1" x14ac:dyDescent="0.25">
      <c r="A4" s="15" t="s">
        <v>77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78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79</v>
      </c>
    </row>
    <row r="8" spans="1:5" ht="20.100000000000001" customHeight="1" x14ac:dyDescent="0.25">
      <c r="A8" s="1" t="s">
        <v>10</v>
      </c>
      <c r="E8" s="2" t="s">
        <v>80</v>
      </c>
    </row>
    <row r="9" spans="1:5" ht="20.100000000000001" customHeight="1" x14ac:dyDescent="0.25">
      <c r="A9" s="1" t="s">
        <v>12</v>
      </c>
      <c r="E9" s="2" t="s">
        <v>81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82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83</v>
      </c>
      <c r="B21" s="14"/>
      <c r="C21" s="6"/>
      <c r="D21" s="6" t="s">
        <v>31</v>
      </c>
      <c r="E21" s="6">
        <v>30916</v>
      </c>
    </row>
    <row r="22" spans="1:5" ht="36" customHeight="1" x14ac:dyDescent="0.25">
      <c r="A22" s="13" t="s">
        <v>84</v>
      </c>
      <c r="B22" s="14"/>
      <c r="C22" s="6"/>
      <c r="D22" s="6" t="s">
        <v>31</v>
      </c>
      <c r="E22" s="6">
        <v>13347</v>
      </c>
    </row>
    <row r="23" spans="1:5" ht="36" customHeight="1" x14ac:dyDescent="0.25">
      <c r="A23" s="13" t="s">
        <v>83</v>
      </c>
      <c r="B23" s="14"/>
      <c r="C23" s="6"/>
      <c r="D23" s="6" t="s">
        <v>58</v>
      </c>
      <c r="E23" s="6">
        <v>309155</v>
      </c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SUM(E21:E23)</f>
        <v>353418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162148</v>
      </c>
    </row>
    <row r="4" spans="1:5" ht="32.1" customHeight="1" x14ac:dyDescent="0.25">
      <c r="A4" s="15" t="s">
        <v>85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86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87</v>
      </c>
    </row>
    <row r="8" spans="1:5" ht="20.100000000000001" customHeight="1" x14ac:dyDescent="0.25">
      <c r="A8" s="1" t="s">
        <v>10</v>
      </c>
      <c r="E8" s="2" t="s">
        <v>52</v>
      </c>
    </row>
    <row r="9" spans="1:5" ht="20.100000000000001" customHeight="1" x14ac:dyDescent="0.25">
      <c r="A9" s="1" t="s">
        <v>12</v>
      </c>
      <c r="E9" s="2" t="s">
        <v>88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89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90</v>
      </c>
      <c r="B21" s="14"/>
      <c r="C21" s="6"/>
      <c r="D21" s="6" t="s">
        <v>31</v>
      </c>
      <c r="E21" s="6">
        <v>14741</v>
      </c>
    </row>
    <row r="22" spans="1:5" ht="36" customHeight="1" x14ac:dyDescent="0.25">
      <c r="A22" s="13" t="s">
        <v>90</v>
      </c>
      <c r="B22" s="14"/>
      <c r="C22" s="6"/>
      <c r="D22" s="6" t="s">
        <v>58</v>
      </c>
      <c r="E22" s="6">
        <v>147407</v>
      </c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SUM(E21:E22)</f>
        <v>162148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7"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 t="str">
        <f ca="1">E26</f>
        <v/>
      </c>
    </row>
    <row r="4" spans="1:5" ht="32.1" customHeight="1" x14ac:dyDescent="0.25">
      <c r="A4" s="15" t="s">
        <v>91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92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87</v>
      </c>
    </row>
    <row r="8" spans="1:5" ht="20.100000000000001" customHeight="1" x14ac:dyDescent="0.25">
      <c r="A8" s="1" t="s">
        <v>10</v>
      </c>
      <c r="E8" s="2" t="s">
        <v>52</v>
      </c>
    </row>
    <row r="9" spans="1:5" ht="20.100000000000001" customHeight="1" x14ac:dyDescent="0.25">
      <c r="A9" s="1" t="s">
        <v>12</v>
      </c>
      <c r="E9" s="2" t="s">
        <v>88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89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93</v>
      </c>
      <c r="B21" s="14"/>
      <c r="C21" s="6"/>
      <c r="D21" s="6" t="s">
        <v>31</v>
      </c>
      <c r="E21" s="6">
        <v>2661</v>
      </c>
    </row>
    <row r="22" spans="1:5" ht="36" customHeight="1" x14ac:dyDescent="0.25">
      <c r="A22" s="13" t="s">
        <v>94</v>
      </c>
      <c r="B22" s="14"/>
      <c r="C22" s="6"/>
      <c r="D22" s="6" t="s">
        <v>31</v>
      </c>
      <c r="E22" s="6">
        <v>9461</v>
      </c>
    </row>
    <row r="23" spans="1:5" ht="36" customHeight="1" x14ac:dyDescent="0.25">
      <c r="A23" s="13" t="s">
        <v>95</v>
      </c>
      <c r="B23" s="14"/>
      <c r="C23" s="6"/>
      <c r="D23" s="6" t="s">
        <v>31</v>
      </c>
      <c r="E23" s="6">
        <v>2661</v>
      </c>
    </row>
    <row r="24" spans="1:5" ht="36" customHeight="1" x14ac:dyDescent="0.25">
      <c r="A24" s="13" t="s">
        <v>93</v>
      </c>
      <c r="B24" s="14"/>
      <c r="C24" s="6"/>
      <c r="D24" s="6" t="s">
        <v>58</v>
      </c>
      <c r="E24" s="6">
        <v>26609</v>
      </c>
    </row>
    <row r="25" spans="1:5" ht="36" customHeight="1" x14ac:dyDescent="0.25">
      <c r="A25" s="13" t="s">
        <v>94</v>
      </c>
      <c r="B25" s="14"/>
      <c r="C25" s="6"/>
      <c r="D25" s="6" t="s">
        <v>58</v>
      </c>
      <c r="E25" s="6">
        <v>94609</v>
      </c>
    </row>
    <row r="26" spans="1:5" ht="36" customHeight="1" x14ac:dyDescent="0.25">
      <c r="A26" s="13" t="s">
        <v>32</v>
      </c>
      <c r="B26" s="14"/>
      <c r="C26" s="6"/>
      <c r="D26" s="6" t="s">
        <v>58</v>
      </c>
      <c r="E26" s="6" t="str">
        <f ca="1">SUM(E21:E26)</f>
        <v/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Shri 11</vt:lpstr>
      <vt:lpstr>Shri 13</vt:lpstr>
      <vt:lpstr>Shri 38</vt:lpstr>
      <vt:lpstr>Shri 52</vt:lpstr>
      <vt:lpstr>Shri 82</vt:lpstr>
      <vt:lpstr>Shri 12</vt:lpstr>
      <vt:lpstr>Shri 26</vt:lpstr>
      <vt:lpstr>Shri 35</vt:lpstr>
      <vt:lpstr>Shri 31</vt:lpstr>
      <vt:lpstr>'Shri 11'!Print_Area</vt:lpstr>
      <vt:lpstr>'Shri 12'!Print_Area</vt:lpstr>
      <vt:lpstr>'Shri 13'!Print_Area</vt:lpstr>
      <vt:lpstr>'Shri 26'!Print_Area</vt:lpstr>
      <vt:lpstr>'Shri 31'!Print_Area</vt:lpstr>
      <vt:lpstr>'Shri 35'!Print_Area</vt:lpstr>
      <vt:lpstr>'Shri 38'!Print_Area</vt:lpstr>
      <vt:lpstr>'Shri 52'!Print_Area</vt:lpstr>
      <vt:lpstr>'Shri 82'!Print_Area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dcterms:created xsi:type="dcterms:W3CDTF">2025-09-16T20:02:12Z</dcterms:created>
  <dcterms:modified xsi:type="dcterms:W3CDTF">2025-09-16T20:06:34Z</dcterms:modified>
</cp:coreProperties>
</file>