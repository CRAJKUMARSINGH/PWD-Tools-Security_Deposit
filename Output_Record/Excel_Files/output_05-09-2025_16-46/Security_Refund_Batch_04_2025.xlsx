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Record\Excel_Files\output_05-09-2025_16-46\"/>
    </mc:Choice>
  </mc:AlternateContent>
  <bookViews>
    <workbookView xWindow="0" yWindow="0" windowWidth="28800" windowHeight="12315" activeTab="2"/>
  </bookViews>
  <sheets>
    <sheet name="Metro 67" sheetId="1" r:id="rId1"/>
    <sheet name="Metro 60" sheetId="2" r:id="rId2"/>
    <sheet name="Mitul 69" sheetId="3" r:id="rId3"/>
    <sheet name="Mitul 29" sheetId="4" r:id="rId4"/>
    <sheet name="Mitul 42" sheetId="5" r:id="rId5"/>
    <sheet name="Mitul 25" sheetId="6" r:id="rId6"/>
    <sheet name="Mitul 33" sheetId="7" r:id="rId7"/>
    <sheet name="Mitul 46" sheetId="8" r:id="rId8"/>
    <sheet name="Mitul 17" sheetId="9" r:id="rId9"/>
    <sheet name="Mitul 62" sheetId="10" r:id="rId10"/>
    <sheet name="Mitul 52" sheetId="11" r:id="rId11"/>
    <sheet name="Mitul 74" sheetId="12" r:id="rId12"/>
    <sheet name="Mitul 30" sheetId="13" r:id="rId13"/>
    <sheet name="Mitul 76" sheetId="14" r:id="rId14"/>
    <sheet name="Mitul 21" sheetId="15" r:id="rId15"/>
    <sheet name="Mitul 691" sheetId="16" r:id="rId16"/>
    <sheet name="Mitul 18" sheetId="17" r:id="rId17"/>
    <sheet name="Mitul 23" sheetId="18" r:id="rId18"/>
    <sheet name="Mitul 51" sheetId="19" r:id="rId19"/>
    <sheet name="Mitul 331" sheetId="20" r:id="rId20"/>
    <sheet name="Mitul 73" sheetId="21" r:id="rId21"/>
    <sheet name="Mitul 01" sheetId="22" r:id="rId22"/>
    <sheet name="Mitul 731" sheetId="23" r:id="rId23"/>
    <sheet name="Mitul 83" sheetId="24" r:id="rId24"/>
    <sheet name="Mitul 68" sheetId="25" r:id="rId25"/>
  </sheets>
  <definedNames>
    <definedName name="_xlnm.Print_Area" localSheetId="1">'Metro 60'!$A$1:$E$38</definedName>
    <definedName name="_xlnm.Print_Area" localSheetId="0">'Metro 67'!$A$1:$E$38</definedName>
    <definedName name="_xlnm.Print_Area" localSheetId="21">'Mitul 01'!$A$1:$E$38</definedName>
    <definedName name="_xlnm.Print_Area" localSheetId="8">'Mitul 17'!$A$1:$E$38</definedName>
    <definedName name="_xlnm.Print_Area" localSheetId="16">'Mitul 18'!$A$1:$E$38</definedName>
    <definedName name="_xlnm.Print_Area" localSheetId="14">'Mitul 21'!$A$1:$E$38</definedName>
    <definedName name="_xlnm.Print_Area" localSheetId="17">'Mitul 23'!$A$1:$E$38</definedName>
    <definedName name="_xlnm.Print_Area" localSheetId="5">'Mitul 25'!$A$1:$E$38</definedName>
    <definedName name="_xlnm.Print_Area" localSheetId="3">'Mitul 29'!$A$1:$E$38</definedName>
    <definedName name="_xlnm.Print_Area" localSheetId="12">'Mitul 30'!$A$1:$E$38</definedName>
    <definedName name="_xlnm.Print_Area" localSheetId="6">'Mitul 33'!$A$1:$E$38</definedName>
    <definedName name="_xlnm.Print_Area" localSheetId="19">'Mitul 331'!$A$1:$E$38</definedName>
    <definedName name="_xlnm.Print_Area" localSheetId="4">'Mitul 42'!$A$1:$E$38</definedName>
    <definedName name="_xlnm.Print_Area" localSheetId="7">'Mitul 46'!$A$1:$E$38</definedName>
    <definedName name="_xlnm.Print_Area" localSheetId="18">'Mitul 51'!$A$1:$E$38</definedName>
    <definedName name="_xlnm.Print_Area" localSheetId="10">'Mitul 52'!$A$1:$E$38</definedName>
    <definedName name="_xlnm.Print_Area" localSheetId="9">'Mitul 62'!$A$1:$E$38</definedName>
    <definedName name="_xlnm.Print_Area" localSheetId="24">'Mitul 68'!$A$1:$E$38</definedName>
    <definedName name="_xlnm.Print_Area" localSheetId="2">'Mitul 69'!$A$1:$E$38</definedName>
    <definedName name="_xlnm.Print_Area" localSheetId="15">'Mitul 691'!$A$1:$E$38</definedName>
    <definedName name="_xlnm.Print_Area" localSheetId="20">'Mitul 73'!$A$1:$E$38</definedName>
    <definedName name="_xlnm.Print_Area" localSheetId="22">'Mitul 731'!$A$1:$E$38</definedName>
    <definedName name="_xlnm.Print_Area" localSheetId="11">'Mitul 74'!$A$1:$E$38</definedName>
    <definedName name="_xlnm.Print_Area" localSheetId="13">'Mitul 76'!$A$1:$E$38</definedName>
    <definedName name="_xlnm.Print_Area" localSheetId="23">'Mitul 83'!$A$1:$E$38</definedName>
  </definedNames>
  <calcPr calcId="152511"/>
</workbook>
</file>

<file path=xl/calcChain.xml><?xml version="1.0" encoding="utf-8"?>
<calcChain xmlns="http://schemas.openxmlformats.org/spreadsheetml/2006/main">
  <c r="E3" i="3" l="1"/>
  <c r="E26" i="3"/>
</calcChain>
</file>

<file path=xl/sharedStrings.xml><?xml version="1.0" encoding="utf-8"?>
<sst xmlns="http://schemas.openxmlformats.org/spreadsheetml/2006/main" count="1073" uniqueCount="156">
  <si>
    <t>ORDER FOR REFUND OF SECURITY DEPOSIT [RWMF 119]</t>
  </si>
  <si>
    <t>1. Name of Contractor:</t>
  </si>
  <si>
    <t>Metro International</t>
  </si>
  <si>
    <t>2. Amount of Deposit: ₹</t>
  </si>
  <si>
    <t>3. Name of Work: CAMC of 3 nos Passenger Elevator in DJ Court Campus Udaipur</t>
  </si>
  <si>
    <t>4. Agreement No.:</t>
  </si>
  <si>
    <t>67/2018-19</t>
  </si>
  <si>
    <t>5. Reference for granting refunds:</t>
  </si>
  <si>
    <t>6. Date of Commencement:</t>
  </si>
  <si>
    <t>23/01/2019</t>
  </si>
  <si>
    <t>7. Stipulated date of Completion:</t>
  </si>
  <si>
    <t>22/01/2020</t>
  </si>
  <si>
    <t>8. Actual Date of Completion:</t>
  </si>
  <si>
    <t>9. MB No.:</t>
  </si>
  <si>
    <t>10. Date of Payment of final bill:</t>
  </si>
  <si>
    <t>11. Date of Expiry of 3/6 months/DLP:</t>
  </si>
  <si>
    <t>22/07/2020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</si>
  <si>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</si>
  <si>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</si>
  <si>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</si>
  <si>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</si>
  <si>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</si>
  <si>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</si>
  <si>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</si>
  <si>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</si>
  <si>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</si>
  <si>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</si>
  <si>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</si>
  <si>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</si>
  <si>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</si>
  <si>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Total: ₹</t>
  </si>
  <si>
    <t>Certified That:-</t>
  </si>
  <si>
    <t>1. The Work has been completed as per G-schedule.</t>
  </si>
  <si>
    <t>2. The work has been inspected by the undersigned as on __________ and it stood satisfactory.</t>
  </si>
  <si>
    <t>3. No defect found during DLP Period.</t>
  </si>
  <si>
    <t>4. The final time extension granted upto  __________ with/without compensation by the competent authority.</t>
  </si>
  <si>
    <t>5. The defects pointed out by higher/authorized authorities during inspection etc. have been removed by the contractor and compliance has been done.</t>
  </si>
  <si>
    <t>Divisional Accountant</t>
  </si>
  <si>
    <t>Assistant Engineer</t>
  </si>
  <si>
    <t>Executive Engineer</t>
  </si>
  <si>
    <t>PWD Electric Div.- Udaipur</t>
  </si>
  <si>
    <t>3. Name of Work: AMC of 3 No Elevator at DJ Court Udaipur</t>
  </si>
  <si>
    <t>60/2019-20</t>
  </si>
  <si>
    <t>14/02/2020</t>
  </si>
  <si>
    <t>13/02/2021</t>
  </si>
  <si>
    <t>13/08/2021</t>
  </si>
  <si>
    <t>Mitul Enterprises</t>
  </si>
  <si>
    <t>3. Name of Work: Electric Repair and Maintenance work in Rajnagar Police Thana Building Dist Rajsamand</t>
  </si>
  <si>
    <t>69/2023-24</t>
  </si>
  <si>
    <t>18/10/2023</t>
  </si>
  <si>
    <t>17/03/2024</t>
  </si>
  <si>
    <t>13/03/2024</t>
  </si>
  <si>
    <t>13/09/2024</t>
  </si>
  <si>
    <t>3. Name of Work: Supply and Providing wireman for electric maintenance in Various Govt Residence Building at Distt. Headquarters Udaipur</t>
  </si>
  <si>
    <t>29/2022-23</t>
  </si>
  <si>
    <t>13/10/2022</t>
  </si>
  <si>
    <t>12/10/2023</t>
  </si>
  <si>
    <t>28/03/2023</t>
  </si>
  <si>
    <t>28/09/2023</t>
  </si>
  <si>
    <t>3. Name of Work: Supply of Electricians for general Electric maintenance in RNT Medical College Udaipur</t>
  </si>
  <si>
    <t>42/2022-23</t>
  </si>
  <si>
    <t>12/12/2022</t>
  </si>
  <si>
    <t>11/12/2023</t>
  </si>
  <si>
    <t>29/12/2023</t>
  </si>
  <si>
    <t>29/06/2024</t>
  </si>
  <si>
    <t>3. Name of Work: Electricfication work at APO office at Sarada Dist Udaipur</t>
  </si>
  <si>
    <t>25/2023-24</t>
  </si>
  <si>
    <t>10/09/2023</t>
  </si>
  <si>
    <t>09/09/2024</t>
  </si>
  <si>
    <t>3. Name of Work: Electric Repair Work in Govt. Residential IIIrd and IVth Building Udaipur</t>
  </si>
  <si>
    <t>33/2024-25</t>
  </si>
  <si>
    <t>22/11/2024</t>
  </si>
  <si>
    <t>21/05/2025</t>
  </si>
  <si>
    <t>21/11/2025</t>
  </si>
  <si>
    <t>3. Name of Work: E/f work in 5 nos toilet in Jail building Udaipur</t>
  </si>
  <si>
    <t>46/2022-23</t>
  </si>
  <si>
    <t>11/03/2023</t>
  </si>
  <si>
    <t>10/03/2023</t>
  </si>
  <si>
    <t>3. Name of Work: Repairing of ceiling fan in govt residential building at udaipur</t>
  </si>
  <si>
    <t>17/2023-24</t>
  </si>
  <si>
    <t>25/08/2023</t>
  </si>
  <si>
    <t>24/08/2024</t>
  </si>
  <si>
    <t>24/02/2025</t>
  </si>
  <si>
    <t>3. Name of Work: Supply of Electricians for General Maintenance in Trauma Block &amp; near by Building Udaipur Fy 2025-26</t>
  </si>
  <si>
    <t>62/2024-25</t>
  </si>
  <si>
    <t>01/02/2025</t>
  </si>
  <si>
    <t>31/01/2026</t>
  </si>
  <si>
    <t>3. Name of Work: Elect Repair and Mtc work in SP Office Rajsamand 2021-22</t>
  </si>
  <si>
    <t>52/2021-22</t>
  </si>
  <si>
    <t>15/01/2022</t>
  </si>
  <si>
    <t>14/05/2022</t>
  </si>
  <si>
    <t>30/03/2022</t>
  </si>
  <si>
    <t>30/09/2022</t>
  </si>
  <si>
    <t>3. Name of Work: Electrical Repair and Maintenance of Ceiling Fans, Coolers, Motors etc at various Govt Non Residential Building,Udaipur.</t>
  </si>
  <si>
    <t>74/2021-22</t>
  </si>
  <si>
    <t>20/03/2022</t>
  </si>
  <si>
    <t>19/09/2022</t>
  </si>
  <si>
    <t>19/03/2023</t>
  </si>
  <si>
    <t>3. Name of Work: Electric repair and Maintenance work of Non Residential Govt. Building at Udaipur</t>
  </si>
  <si>
    <t>30/2024-25</t>
  </si>
  <si>
    <t>3. Name of Work: Electric repair and maintenance work in CJM residence at Rajsamand</t>
  </si>
  <si>
    <t>76/2022-23</t>
  </si>
  <si>
    <t>19/02/2023</t>
  </si>
  <si>
    <t>05/04/2023</t>
  </si>
  <si>
    <t>26/03/2023</t>
  </si>
  <si>
    <t>26/09/2023</t>
  </si>
  <si>
    <t>3. Name of Work: Electric Repair and Maintenance of Ceiling Fan &amp; Motor work in Non residential Building</t>
  </si>
  <si>
    <t>21/2023-24</t>
  </si>
  <si>
    <t>09/03/2025</t>
  </si>
  <si>
    <t>3. Name of Work: Electric Repair and Maintenance of Girls Hostel Meera Girls College Udaipur</t>
  </si>
  <si>
    <t>69/2024-25</t>
  </si>
  <si>
    <t>15/02/2025</t>
  </si>
  <si>
    <t>14/08/2025</t>
  </si>
  <si>
    <t>3. Name of Work: providing of labour for electric repair/maintenance work in residential building Udaipur, FDPAID - 85565</t>
  </si>
  <si>
    <t>18/2023-24</t>
  </si>
  <si>
    <t>24/02/2024</t>
  </si>
  <si>
    <t>3. Name of Work: Electric repair maintenance work in non residential building at Udaipur</t>
  </si>
  <si>
    <t>23/2023-24</t>
  </si>
  <si>
    <t>3. Name of Work: Repairing of Electric motors in Judicial Qtr at Udaipur</t>
  </si>
  <si>
    <t>51/2021-22</t>
  </si>
  <si>
    <t>30/01/2022</t>
  </si>
  <si>
    <t>28/01/2022</t>
  </si>
  <si>
    <t>28/07/2022</t>
  </si>
  <si>
    <t>3. Name of Work: Electrification work in Govind Guru Samudayik Bhawan in Kherwada Panchayat Samiti, District- Udaipur</t>
  </si>
  <si>
    <t>33/2021-22</t>
  </si>
  <si>
    <t>12/09/2021</t>
  </si>
  <si>
    <t>11/09/2022</t>
  </si>
  <si>
    <t>01/09/2022</t>
  </si>
  <si>
    <t>01/03/2023</t>
  </si>
  <si>
    <t>3. Name of Work: Electrical Repair and Maintenance of Ceiling Fans, Coolers, Motors etc at various Govt Residential Building,Udaipur.</t>
  </si>
  <si>
    <t>73/2021-22</t>
  </si>
  <si>
    <t>3. Name of Work: SITC of transformer &amp; Other Electrical work in New Building of Sale Tax Deptt. at Udaipur</t>
  </si>
  <si>
    <t>01/2022-23</t>
  </si>
  <si>
    <t>24/05/2022</t>
  </si>
  <si>
    <t>23/09/2022</t>
  </si>
  <si>
    <t>22/09/2022</t>
  </si>
  <si>
    <t>22/03/2023</t>
  </si>
  <si>
    <t>3. Name of Work: Electric Repair and Maintenance Work at LoweR.S.ubordinate Quarter Building 12th Battalion RAC Debari Udaipur</t>
  </si>
  <si>
    <t>73/2024-25</t>
  </si>
  <si>
    <t>30/03/2025</t>
  </si>
  <si>
    <t>21/03/2025</t>
  </si>
  <si>
    <t>21/09/2025</t>
  </si>
  <si>
    <t>3. Name of Work: Electric Repair and Maintenance Work in Excise Department, udaipur</t>
  </si>
  <si>
    <t>83/2024-25</t>
  </si>
  <si>
    <t>01/03/2025</t>
  </si>
  <si>
    <t>31/03/2025</t>
  </si>
  <si>
    <t>22/03/2025</t>
  </si>
  <si>
    <t>22/09/2025</t>
  </si>
  <si>
    <t>3. Name of Work: Electric repair work in Rural treasury at collectorate office udaipur</t>
  </si>
  <si>
    <t>68/2022-23</t>
  </si>
  <si>
    <t>26/01/2023</t>
  </si>
  <si>
    <t>25/02/2023</t>
  </si>
  <si>
    <t>SD</t>
  </si>
  <si>
    <t>MD</t>
  </si>
  <si>
    <t>TV 69703 Dt. 30-03-2021</t>
  </si>
  <si>
    <t>TV 69705 Dt. 30-03-2021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</si>
</sst>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5" xfId="0" applyFont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4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</v>
      </c>
    </row>
    <row r="8" spans="1:5" ht="15" customHeight="1" x14ac:dyDescent="0.25">
      <c r="A8" s="3" t="s">
        <v>10</v>
      </c>
      <c r="E8" s="2" t="s">
        <v>11</v>
      </c>
    </row>
    <row r="9" spans="1:5" ht="15" customHeight="1" x14ac:dyDescent="0.25">
      <c r="A9" s="3" t="s">
        <v>12</v>
      </c>
      <c r="E9" s="2" t="s">
        <v>11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16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41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42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43</v>
      </c>
    </row>
    <row r="8" spans="1:5" ht="15" customHeight="1" x14ac:dyDescent="0.25">
      <c r="A8" s="3" t="s">
        <v>10</v>
      </c>
      <c r="E8" s="2" t="s">
        <v>44</v>
      </c>
    </row>
    <row r="9" spans="1:5" ht="15" customHeight="1" x14ac:dyDescent="0.25">
      <c r="A9" s="3" t="s">
        <v>12</v>
      </c>
      <c r="E9" s="2" t="s">
        <v>44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45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K8" sqref="K8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22"/>
      <c r="E2" s="22"/>
    </row>
    <row r="3" spans="1:5" ht="15" customHeight="1" x14ac:dyDescent="0.25">
      <c r="A3" s="3" t="s">
        <v>3</v>
      </c>
      <c r="C3" s="4"/>
      <c r="D3" s="4"/>
      <c r="E3" s="21">
        <f>E26</f>
        <v>182528</v>
      </c>
    </row>
    <row r="4" spans="1:5" ht="15" customHeight="1" x14ac:dyDescent="0.25">
      <c r="A4" s="15" t="s">
        <v>47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48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49</v>
      </c>
    </row>
    <row r="8" spans="1:5" ht="15" customHeight="1" x14ac:dyDescent="0.25">
      <c r="A8" s="3" t="s">
        <v>10</v>
      </c>
      <c r="E8" s="2" t="s">
        <v>50</v>
      </c>
    </row>
    <row r="9" spans="1:5" ht="15" customHeight="1" x14ac:dyDescent="0.25">
      <c r="A9" s="3" t="s">
        <v>12</v>
      </c>
      <c r="E9" s="2" t="s">
        <v>51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52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 t="s">
        <v>154</v>
      </c>
      <c r="B21" s="13"/>
      <c r="C21" s="7"/>
      <c r="D21" s="7" t="s">
        <v>152</v>
      </c>
      <c r="E21" s="7">
        <v>122850</v>
      </c>
    </row>
    <row r="22" spans="1:5" ht="15" customHeight="1" x14ac:dyDescent="0.25">
      <c r="A22" s="14" t="s">
        <v>155</v>
      </c>
      <c r="B22" s="13"/>
      <c r="C22" s="7"/>
      <c r="D22" s="7" t="s">
        <v>152</v>
      </c>
      <c r="E22" s="7">
        <v>49678</v>
      </c>
    </row>
    <row r="23" spans="1:5" ht="15" customHeight="1" x14ac:dyDescent="0.25">
      <c r="A23" s="14" t="s">
        <v>155</v>
      </c>
      <c r="B23" s="13"/>
      <c r="C23" s="7"/>
      <c r="D23" s="7" t="s">
        <v>153</v>
      </c>
      <c r="E23" s="7">
        <v>10000</v>
      </c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>
        <f>SUM(E21:E25)</f>
        <v>182528</v>
      </c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53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54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55</v>
      </c>
    </row>
    <row r="8" spans="1:5" ht="15" customHeight="1" x14ac:dyDescent="0.25">
      <c r="A8" s="3" t="s">
        <v>10</v>
      </c>
      <c r="E8" s="2" t="s">
        <v>56</v>
      </c>
    </row>
    <row r="9" spans="1:5" ht="15" customHeight="1" x14ac:dyDescent="0.25">
      <c r="A9" s="3" t="s">
        <v>12</v>
      </c>
      <c r="E9" s="2" t="s">
        <v>57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58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59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61</v>
      </c>
    </row>
    <row r="8" spans="1:5" ht="15" customHeight="1" x14ac:dyDescent="0.25">
      <c r="A8" s="3" t="s">
        <v>10</v>
      </c>
      <c r="E8" s="2" t="s">
        <v>62</v>
      </c>
    </row>
    <row r="9" spans="1:5" ht="15" customHeight="1" x14ac:dyDescent="0.25">
      <c r="A9" s="3" t="s">
        <v>12</v>
      </c>
      <c r="E9" s="2" t="s">
        <v>63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64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65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66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67</v>
      </c>
    </row>
    <row r="8" spans="1:5" ht="15" customHeight="1" x14ac:dyDescent="0.25">
      <c r="A8" s="3" t="s">
        <v>10</v>
      </c>
      <c r="E8" s="2" t="s">
        <v>68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69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70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71</v>
      </c>
    </row>
    <row r="8" spans="1:5" ht="15" customHeight="1" x14ac:dyDescent="0.25">
      <c r="A8" s="3" t="s">
        <v>10</v>
      </c>
      <c r="E8" s="2" t="s">
        <v>72</v>
      </c>
    </row>
    <row r="9" spans="1:5" ht="15" customHeight="1" x14ac:dyDescent="0.25">
      <c r="A9" s="3" t="s">
        <v>12</v>
      </c>
      <c r="E9" s="2" t="s">
        <v>72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73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74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75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61</v>
      </c>
    </row>
    <row r="8" spans="1:5" ht="15" customHeight="1" x14ac:dyDescent="0.25">
      <c r="A8" s="3" t="s">
        <v>10</v>
      </c>
      <c r="E8" s="2" t="s">
        <v>76</v>
      </c>
    </row>
    <row r="9" spans="1:5" ht="15" customHeight="1" x14ac:dyDescent="0.25">
      <c r="A9" s="3" t="s">
        <v>12</v>
      </c>
      <c r="E9" s="2" t="s">
        <v>77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67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78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79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80</v>
      </c>
    </row>
    <row r="8" spans="1:5" ht="15" customHeight="1" x14ac:dyDescent="0.25">
      <c r="A8" s="3" t="s">
        <v>10</v>
      </c>
      <c r="E8" s="2" t="s">
        <v>81</v>
      </c>
    </row>
    <row r="9" spans="1:5" ht="15" customHeight="1" x14ac:dyDescent="0.25">
      <c r="A9" s="3" t="s">
        <v>12</v>
      </c>
      <c r="E9" s="2" t="s">
        <v>81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82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83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84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85</v>
      </c>
    </row>
    <row r="8" spans="1:5" ht="15" customHeight="1" x14ac:dyDescent="0.25">
      <c r="A8" s="3" t="s">
        <v>10</v>
      </c>
      <c r="E8" s="2" t="s">
        <v>86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87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88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89</v>
      </c>
    </row>
    <row r="8" spans="1:5" ht="15" customHeight="1" x14ac:dyDescent="0.25">
      <c r="A8" s="3" t="s">
        <v>10</v>
      </c>
      <c r="E8" s="2" t="s">
        <v>90</v>
      </c>
    </row>
    <row r="9" spans="1:5" ht="15" customHeight="1" x14ac:dyDescent="0.25">
      <c r="A9" s="3" t="s">
        <v>12</v>
      </c>
      <c r="E9" s="2" t="s">
        <v>91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92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93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94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95</v>
      </c>
    </row>
    <row r="8" spans="1:5" ht="15" customHeight="1" x14ac:dyDescent="0.25">
      <c r="A8" s="3" t="s">
        <v>10</v>
      </c>
      <c r="E8" s="2" t="s">
        <v>96</v>
      </c>
    </row>
    <row r="9" spans="1:5" ht="15" customHeight="1" x14ac:dyDescent="0.25">
      <c r="A9" s="3" t="s">
        <v>12</v>
      </c>
      <c r="E9" s="2" t="s">
        <v>96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97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98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99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71</v>
      </c>
    </row>
    <row r="8" spans="1:5" ht="15" customHeight="1" x14ac:dyDescent="0.25">
      <c r="A8" s="3" t="s">
        <v>10</v>
      </c>
      <c r="E8" s="2" t="s">
        <v>72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100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101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102</v>
      </c>
    </row>
    <row r="8" spans="1:5" ht="15" customHeight="1" x14ac:dyDescent="0.25">
      <c r="A8" s="3" t="s">
        <v>10</v>
      </c>
      <c r="E8" s="2" t="s">
        <v>103</v>
      </c>
    </row>
    <row r="9" spans="1:5" ht="15" customHeight="1" x14ac:dyDescent="0.25">
      <c r="A9" s="3" t="s">
        <v>12</v>
      </c>
      <c r="E9" s="2" t="s">
        <v>104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105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106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107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67</v>
      </c>
    </row>
    <row r="8" spans="1:5" ht="15" customHeight="1" x14ac:dyDescent="0.25">
      <c r="A8" s="3" t="s">
        <v>10</v>
      </c>
      <c r="E8" s="2" t="s">
        <v>68</v>
      </c>
    </row>
    <row r="9" spans="1:5" ht="15" customHeight="1" x14ac:dyDescent="0.25">
      <c r="A9" s="3" t="s">
        <v>12</v>
      </c>
      <c r="E9" s="2" t="s">
        <v>68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108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109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110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111</v>
      </c>
    </row>
    <row r="8" spans="1:5" ht="15" customHeight="1" x14ac:dyDescent="0.25">
      <c r="A8" s="3" t="s">
        <v>10</v>
      </c>
      <c r="E8" s="2" t="s">
        <v>112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113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114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80</v>
      </c>
    </row>
    <row r="8" spans="1:5" ht="15" customHeight="1" x14ac:dyDescent="0.25">
      <c r="A8" s="3" t="s">
        <v>10</v>
      </c>
      <c r="E8" s="2" t="s">
        <v>115</v>
      </c>
    </row>
    <row r="9" spans="1:5" ht="15" customHeight="1" x14ac:dyDescent="0.25">
      <c r="A9" s="3" t="s">
        <v>12</v>
      </c>
      <c r="E9" s="2" t="s">
        <v>115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81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116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117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67</v>
      </c>
    </row>
    <row r="8" spans="1:5" ht="15" customHeight="1" x14ac:dyDescent="0.25">
      <c r="A8" s="3" t="s">
        <v>10</v>
      </c>
      <c r="E8" s="2" t="s">
        <v>68</v>
      </c>
    </row>
    <row r="9" spans="1:5" ht="15" customHeight="1" x14ac:dyDescent="0.25">
      <c r="A9" s="3" t="s">
        <v>12</v>
      </c>
      <c r="E9" s="2" t="s">
        <v>68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108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118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119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89</v>
      </c>
    </row>
    <row r="8" spans="1:5" ht="15" customHeight="1" x14ac:dyDescent="0.25">
      <c r="A8" s="3" t="s">
        <v>10</v>
      </c>
      <c r="E8" s="2" t="s">
        <v>120</v>
      </c>
    </row>
    <row r="9" spans="1:5" ht="15" customHeight="1" x14ac:dyDescent="0.25">
      <c r="A9" s="3" t="s">
        <v>12</v>
      </c>
      <c r="E9" s="2" t="s">
        <v>121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122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123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124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125</v>
      </c>
    </row>
    <row r="8" spans="1:5" ht="15" customHeight="1" x14ac:dyDescent="0.25">
      <c r="A8" s="3" t="s">
        <v>10</v>
      </c>
      <c r="E8" s="2" t="s">
        <v>126</v>
      </c>
    </row>
    <row r="9" spans="1:5" ht="15" customHeight="1" x14ac:dyDescent="0.25">
      <c r="A9" s="3" t="s">
        <v>12</v>
      </c>
      <c r="E9" s="2" t="s">
        <v>127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128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129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130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95</v>
      </c>
    </row>
    <row r="8" spans="1:5" ht="15" customHeight="1" x14ac:dyDescent="0.25">
      <c r="A8" s="3" t="s">
        <v>10</v>
      </c>
      <c r="E8" s="2" t="s">
        <v>96</v>
      </c>
    </row>
    <row r="9" spans="1:5" ht="15" customHeight="1" x14ac:dyDescent="0.25">
      <c r="A9" s="3" t="s">
        <v>12</v>
      </c>
      <c r="E9" s="2" t="s">
        <v>96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97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131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132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133</v>
      </c>
    </row>
    <row r="8" spans="1:5" ht="15" customHeight="1" x14ac:dyDescent="0.25">
      <c r="A8" s="3" t="s">
        <v>10</v>
      </c>
      <c r="E8" s="2" t="s">
        <v>134</v>
      </c>
    </row>
    <row r="9" spans="1:5" ht="15" customHeight="1" x14ac:dyDescent="0.25">
      <c r="A9" s="3" t="s">
        <v>12</v>
      </c>
      <c r="E9" s="2" t="s">
        <v>135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136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137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138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111</v>
      </c>
    </row>
    <row r="8" spans="1:5" ht="15" customHeight="1" x14ac:dyDescent="0.25">
      <c r="A8" s="3" t="s">
        <v>10</v>
      </c>
      <c r="E8" s="2" t="s">
        <v>139</v>
      </c>
    </row>
    <row r="9" spans="1:5" ht="15" customHeight="1" x14ac:dyDescent="0.25">
      <c r="A9" s="3" t="s">
        <v>12</v>
      </c>
      <c r="E9" s="2" t="s">
        <v>140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141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142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143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144</v>
      </c>
    </row>
    <row r="8" spans="1:5" ht="15" customHeight="1" x14ac:dyDescent="0.25">
      <c r="A8" s="3" t="s">
        <v>10</v>
      </c>
      <c r="E8" s="2" t="s">
        <v>145</v>
      </c>
    </row>
    <row r="9" spans="1:5" ht="15" customHeight="1" x14ac:dyDescent="0.25">
      <c r="A9" s="3" t="s">
        <v>12</v>
      </c>
      <c r="E9" s="2" t="s">
        <v>146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147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148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149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150</v>
      </c>
    </row>
    <row r="8" spans="1:5" ht="15" customHeight="1" x14ac:dyDescent="0.25">
      <c r="A8" s="3" t="s">
        <v>10</v>
      </c>
      <c r="E8" s="2" t="s">
        <v>151</v>
      </c>
    </row>
    <row r="9" spans="1:5" ht="15" customHeight="1" x14ac:dyDescent="0.25">
      <c r="A9" s="3" t="s">
        <v>12</v>
      </c>
      <c r="E9" s="2" t="s">
        <v>151</v>
      </c>
    </row>
    <row r="10" spans="1:5" ht="15" customHeight="1" x14ac:dyDescent="0.25">
      <c r="A10" s="3" t="s">
        <v>13</v>
      </c>
      <c r="E10" s="2"/>
    </row>
    <row r="11" spans="1:5" ht="15" customHeight="1" x14ac:dyDescent="0.25">
      <c r="A11" s="3" t="s">
        <v>14</v>
      </c>
      <c r="E11" s="2"/>
    </row>
    <row r="12" spans="1:5" ht="15" customHeight="1" x14ac:dyDescent="0.25">
      <c r="A12" s="3" t="s">
        <v>15</v>
      </c>
      <c r="E12" s="2" t="s">
        <v>80</v>
      </c>
    </row>
    <row r="13" spans="1:5" ht="15" customHeight="1" x14ac:dyDescent="0.25">
      <c r="A13" s="3" t="s">
        <v>17</v>
      </c>
      <c r="E13" s="2" t="s">
        <v>18</v>
      </c>
    </row>
    <row r="14" spans="1:5" ht="15" customHeight="1" x14ac:dyDescent="0.25">
      <c r="A14" s="3" t="s">
        <v>19</v>
      </c>
      <c r="E14" s="2" t="s">
        <v>20</v>
      </c>
    </row>
    <row r="15" spans="1:5" ht="15" customHeight="1" x14ac:dyDescent="0.25">
      <c r="A15" s="3" t="s">
        <v>21</v>
      </c>
      <c r="E15" s="2" t="s">
        <v>20</v>
      </c>
    </row>
    <row r="16" spans="1:5" ht="15" customHeight="1" x14ac:dyDescent="0.25">
      <c r="A16" s="3" t="s">
        <v>22</v>
      </c>
      <c r="E16" s="2"/>
    </row>
    <row r="17" spans="1:5" ht="15" customHeight="1" x14ac:dyDescent="0.25">
      <c r="A17" s="3" t="s">
        <v>23</v>
      </c>
      <c r="E17" s="2"/>
    </row>
    <row r="18" spans="1:5" ht="15" customHeight="1" x14ac:dyDescent="0.25">
      <c r="A18" s="3" t="s">
        <v>24</v>
      </c>
      <c r="E18" s="2"/>
    </row>
    <row r="19" spans="1:5" ht="15" customHeight="1" x14ac:dyDescent="0.25">
      <c r="A19" s="5" t="s">
        <v>25</v>
      </c>
    </row>
    <row r="20" spans="1:5" ht="15" customHeight="1" x14ac:dyDescent="0.25">
      <c r="A20" s="12" t="s">
        <v>26</v>
      </c>
      <c r="B20" s="13"/>
      <c r="C20" s="6" t="s">
        <v>27</v>
      </c>
      <c r="D20" s="6" t="s">
        <v>28</v>
      </c>
      <c r="E20" s="6" t="s">
        <v>29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30</v>
      </c>
      <c r="B26" s="13"/>
      <c r="C26" s="7"/>
      <c r="D26" s="7"/>
      <c r="E26" s="7"/>
    </row>
    <row r="27" spans="1:5" ht="15" customHeight="1" x14ac:dyDescent="0.25">
      <c r="A27" s="5" t="s">
        <v>31</v>
      </c>
      <c r="B27" s="4"/>
      <c r="C27" s="4"/>
      <c r="D27" s="4"/>
      <c r="E27" s="4"/>
    </row>
    <row r="28" spans="1:5" ht="15" customHeight="1" x14ac:dyDescent="0.25">
      <c r="A28" s="8" t="s">
        <v>32</v>
      </c>
      <c r="B28" s="4"/>
      <c r="C28" s="4"/>
      <c r="D28" s="4"/>
      <c r="E28" s="4"/>
    </row>
    <row r="29" spans="1:5" ht="15" customHeight="1" x14ac:dyDescent="0.25">
      <c r="A29" s="8" t="s">
        <v>33</v>
      </c>
      <c r="B29" s="4"/>
      <c r="C29" s="4"/>
      <c r="D29" s="4"/>
      <c r="E29" s="4"/>
    </row>
    <row r="30" spans="1:5" ht="15" customHeight="1" x14ac:dyDescent="0.25">
      <c r="A30" s="8" t="s">
        <v>34</v>
      </c>
      <c r="B30" s="4"/>
      <c r="C30" s="4"/>
      <c r="D30" s="4"/>
      <c r="E30" s="4"/>
    </row>
    <row r="31" spans="1:5" ht="15" customHeight="1" x14ac:dyDescent="0.25">
      <c r="A31" s="8" t="s">
        <v>35</v>
      </c>
      <c r="B31" s="4"/>
      <c r="C31" s="4"/>
      <c r="D31" s="4"/>
      <c r="E31" s="4"/>
    </row>
    <row r="32" spans="1:5" ht="26.1" customHeight="1" x14ac:dyDescent="0.25">
      <c r="A32" s="19" t="s">
        <v>36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37</v>
      </c>
      <c r="C34" s="9" t="s">
        <v>38</v>
      </c>
      <c r="E34" s="9" t="s">
        <v>39</v>
      </c>
    </row>
    <row r="35" spans="1:5" ht="15" customHeight="1" x14ac:dyDescent="0.25">
      <c r="E35" s="9" t="s">
        <v>40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Metro 67</vt:lpstr>
      <vt:lpstr>Metro 60</vt:lpstr>
      <vt:lpstr>Mitul 69</vt:lpstr>
      <vt:lpstr>Mitul 29</vt:lpstr>
      <vt:lpstr>Mitul 42</vt:lpstr>
      <vt:lpstr>Mitul 25</vt:lpstr>
      <vt:lpstr>Mitul 33</vt:lpstr>
      <vt:lpstr>Mitul 46</vt:lpstr>
      <vt:lpstr>Mitul 17</vt:lpstr>
      <vt:lpstr>Mitul 62</vt:lpstr>
      <vt:lpstr>Mitul 52</vt:lpstr>
      <vt:lpstr>Mitul 74</vt:lpstr>
      <vt:lpstr>Mitul 30</vt:lpstr>
      <vt:lpstr>Mitul 76</vt:lpstr>
      <vt:lpstr>Mitul 21</vt:lpstr>
      <vt:lpstr>Mitul 691</vt:lpstr>
      <vt:lpstr>Mitul 18</vt:lpstr>
      <vt:lpstr>Mitul 23</vt:lpstr>
      <vt:lpstr>Mitul 51</vt:lpstr>
      <vt:lpstr>Mitul 331</vt:lpstr>
      <vt:lpstr>Mitul 73</vt:lpstr>
      <vt:lpstr>Mitul 01</vt:lpstr>
      <vt:lpstr>Mitul 731</vt:lpstr>
      <vt:lpstr>Mitul 83</vt:lpstr>
      <vt:lpstr>Mitul 68</vt:lpstr>
      <vt:lpstr>'Metro 60'!Print_Area</vt:lpstr>
      <vt:lpstr>'Metro 67'!Print_Area</vt:lpstr>
      <vt:lpstr>'Mitul 01'!Print_Area</vt:lpstr>
      <vt:lpstr>'Mitul 17'!Print_Area</vt:lpstr>
      <vt:lpstr>'Mitul 18'!Print_Area</vt:lpstr>
      <vt:lpstr>'Mitul 21'!Print_Area</vt:lpstr>
      <vt:lpstr>'Mitul 23'!Print_Area</vt:lpstr>
      <vt:lpstr>'Mitul 25'!Print_Area</vt:lpstr>
      <vt:lpstr>'Mitul 29'!Print_Area</vt:lpstr>
      <vt:lpstr>'Mitul 30'!Print_Area</vt:lpstr>
      <vt:lpstr>'Mitul 33'!Print_Area</vt:lpstr>
      <vt:lpstr>'Mitul 331'!Print_Area</vt:lpstr>
      <vt:lpstr>'Mitul 42'!Print_Area</vt:lpstr>
      <vt:lpstr>'Mitul 46'!Print_Area</vt:lpstr>
      <vt:lpstr>'Mitul 51'!Print_Area</vt:lpstr>
      <vt:lpstr>'Mitul 52'!Print_Area</vt:lpstr>
      <vt:lpstr>'Mitul 62'!Print_Area</vt:lpstr>
      <vt:lpstr>'Mitul 68'!Print_Area</vt:lpstr>
      <vt:lpstr>'Mitul 69'!Print_Area</vt:lpstr>
      <vt:lpstr>'Mitul 691'!Print_Area</vt:lpstr>
      <vt:lpstr>'Mitul 73'!Print_Area</vt:lpstr>
      <vt:lpstr>'Mitul 731'!Print_Area</vt:lpstr>
      <vt:lpstr>'Mitul 74'!Print_Area</vt:lpstr>
      <vt:lpstr>'Mitul 76'!Print_Area</vt:lpstr>
      <vt:lpstr>'Mitul 83'!Print_Area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2025-09-05T11:16:53Z</dcterms:created>
  <dcterms:modified xsi:type="dcterms:W3CDTF">2025-09-17T07:11:23Z</dcterms:modified>
</cp:coreProperties>
</file>