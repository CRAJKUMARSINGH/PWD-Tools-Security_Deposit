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Record\Excel_Files\output_05-09-2025_16-46\"/>
    </mc:Choice>
  </mc:AlternateContent>
  <bookViews>
    <workbookView xWindow="0" yWindow="0" windowWidth="28800" windowHeight="12315" activeTab="6"/>
  </bookViews>
  <sheets>
    <sheet name="Taniya 56" sheetId="1" r:id="rId1"/>
    <sheet name="Taniya 64" sheetId="2" r:id="rId2"/>
    <sheet name="Techno 62" sheetId="3" r:id="rId3"/>
    <sheet name="Technoid 19" sheetId="4" r:id="rId4"/>
    <sheet name="Uma 23" sheetId="5" r:id="rId5"/>
    <sheet name="Vikas 01" sheetId="6" r:id="rId6"/>
    <sheet name="Vikas 02" sheetId="7" r:id="rId7"/>
    <sheet name="Vikas 05" sheetId="8" r:id="rId8"/>
    <sheet name="Vikas 09" sheetId="9" r:id="rId9"/>
    <sheet name="Vikas 101" sheetId="10" r:id="rId10"/>
    <sheet name="Vikas 102" sheetId="11" r:id="rId11"/>
    <sheet name="Vikas 11" sheetId="12" r:id="rId12"/>
    <sheet name="Vikas 113" sheetId="13" r:id="rId13"/>
    <sheet name="Vikas 115" sheetId="14" r:id="rId14"/>
    <sheet name="Vikas 17" sheetId="15" r:id="rId15"/>
    <sheet name="Vikas 20" sheetId="16" r:id="rId16"/>
    <sheet name="Vikas 21" sheetId="17" r:id="rId17"/>
    <sheet name="Vikas 211" sheetId="18" r:id="rId18"/>
    <sheet name="Vikas 24" sheetId="19" r:id="rId19"/>
    <sheet name="Vikas 31" sheetId="20" r:id="rId20"/>
    <sheet name="Vikas 32" sheetId="21" r:id="rId21"/>
    <sheet name="Vikas 33" sheetId="22" r:id="rId22"/>
    <sheet name="Vikas 34" sheetId="23" r:id="rId23"/>
    <sheet name="Vikas 341" sheetId="24" r:id="rId24"/>
    <sheet name="Vikas 35" sheetId="25" r:id="rId25"/>
  </sheets>
  <definedNames>
    <definedName name="_xlnm.Print_Area" localSheetId="0">'Taniya 56'!$A$1:$E$36</definedName>
    <definedName name="_xlnm.Print_Area" localSheetId="1">'Taniya 64'!$A$1:$E$36</definedName>
    <definedName name="_xlnm.Print_Area" localSheetId="2">'Techno 62'!$A$1:$E$36</definedName>
    <definedName name="_xlnm.Print_Area" localSheetId="3">'Technoid 19'!$A$1:$E$36</definedName>
    <definedName name="_xlnm.Print_Area" localSheetId="4">'Uma 23'!$A$1:$E$36</definedName>
    <definedName name="_xlnm.Print_Area" localSheetId="5">'Vikas 01'!$A$1:$E$36</definedName>
    <definedName name="_xlnm.Print_Area" localSheetId="6">'Vikas 02'!$A$1:$E$36</definedName>
    <definedName name="_xlnm.Print_Area" localSheetId="7">'Vikas 05'!$A$1:$E$36</definedName>
    <definedName name="_xlnm.Print_Area" localSheetId="8">'Vikas 09'!$A$1:$E$36</definedName>
    <definedName name="_xlnm.Print_Area" localSheetId="9">'Vikas 101'!$A$1:$E$36</definedName>
    <definedName name="_xlnm.Print_Area" localSheetId="10">'Vikas 102'!$A$1:$E$36</definedName>
    <definedName name="_xlnm.Print_Area" localSheetId="11">'Vikas 11'!$A$1:$E$36</definedName>
    <definedName name="_xlnm.Print_Area" localSheetId="12">'Vikas 113'!$A$1:$E$36</definedName>
    <definedName name="_xlnm.Print_Area" localSheetId="13">'Vikas 115'!$A$1:$E$36</definedName>
    <definedName name="_xlnm.Print_Area" localSheetId="14">'Vikas 17'!$A$1:$E$36</definedName>
    <definedName name="_xlnm.Print_Area" localSheetId="15">'Vikas 20'!$A$1:$E$36</definedName>
    <definedName name="_xlnm.Print_Area" localSheetId="16">'Vikas 21'!$A$1:$E$36</definedName>
    <definedName name="_xlnm.Print_Area" localSheetId="17">'Vikas 211'!$A$1:$E$36</definedName>
    <definedName name="_xlnm.Print_Area" localSheetId="18">'Vikas 24'!$A$1:$E$36</definedName>
    <definedName name="_xlnm.Print_Area" localSheetId="19">'Vikas 31'!$A$1:$E$36</definedName>
    <definedName name="_xlnm.Print_Area" localSheetId="20">'Vikas 32'!$A$1:$E$36</definedName>
    <definedName name="_xlnm.Print_Area" localSheetId="21">'Vikas 33'!$A$1:$E$36</definedName>
    <definedName name="_xlnm.Print_Area" localSheetId="22">'Vikas 34'!$A$1:$E$36</definedName>
    <definedName name="_xlnm.Print_Area" localSheetId="23">'Vikas 341'!$A$1:$E$36</definedName>
    <definedName name="_xlnm.Print_Area" localSheetId="24">'Vikas 35'!$A$1:$E$36</definedName>
  </definedNames>
  <calcPr calcId="152511"/>
</workbook>
</file>

<file path=xl/calcChain.xml><?xml version="1.0" encoding="utf-8"?>
<calcChain xmlns="http://schemas.openxmlformats.org/spreadsheetml/2006/main">
  <c r="E26" i="25" l="1"/>
  <c r="E3" i="25" s="1"/>
  <c r="E26" i="24"/>
  <c r="E3" i="24" s="1"/>
  <c r="E26" i="23"/>
  <c r="E3" i="23" s="1"/>
  <c r="E26" i="22"/>
  <c r="E3" i="22"/>
  <c r="E26" i="21"/>
  <c r="E3" i="21"/>
  <c r="E26" i="20"/>
  <c r="E3" i="20" s="1"/>
  <c r="E26" i="19"/>
  <c r="E3" i="19" s="1"/>
  <c r="E26" i="18"/>
  <c r="E3" i="18" s="1"/>
  <c r="E26" i="17"/>
  <c r="E3" i="17" s="1"/>
  <c r="E26" i="16"/>
  <c r="E3" i="16" s="1"/>
  <c r="E26" i="15"/>
  <c r="E3" i="15" s="1"/>
  <c r="E26" i="14"/>
  <c r="E3" i="14"/>
  <c r="E26" i="13"/>
  <c r="E3" i="13" s="1"/>
  <c r="E26" i="12"/>
  <c r="E3" i="12" s="1"/>
  <c r="E26" i="11"/>
  <c r="E3" i="11" s="1"/>
  <c r="E26" i="10"/>
  <c r="E3" i="10" s="1"/>
  <c r="E26" i="9"/>
  <c r="E3" i="9" s="1"/>
  <c r="E26" i="8"/>
  <c r="E3" i="8" s="1"/>
  <c r="E26" i="7"/>
  <c r="E3" i="7" s="1"/>
  <c r="E26" i="6"/>
  <c r="E3" i="6"/>
  <c r="E26" i="4"/>
  <c r="E3" i="4" s="1"/>
  <c r="E26" i="3"/>
  <c r="E3" i="3" s="1"/>
  <c r="E26" i="2"/>
  <c r="E3" i="2"/>
  <c r="E26" i="1"/>
  <c r="E3" i="1" s="1"/>
  <c r="E3" i="5"/>
  <c r="E26" i="5"/>
</calcChain>
</file>

<file path=xl/sharedStrings.xml><?xml version="1.0" encoding="utf-8"?>
<sst xmlns="http://schemas.openxmlformats.org/spreadsheetml/2006/main" count="1166" uniqueCount="213">
  <si>
    <t>ORDER FOR REFUND OF SECURITY DEPOSIT [RWMF 119]</t>
  </si>
  <si>
    <t>1. Name of Contractor:</t>
  </si>
  <si>
    <t>Taniya Electricals</t>
  </si>
  <si>
    <t>2. Amount of Deposit: ₹</t>
  </si>
  <si>
    <t>3. Name of Work: Electric repair and Maintenance work of Pratap Nagar Thana Quarters Udaipur</t>
  </si>
  <si>
    <t>4. Agreement No.:</t>
  </si>
  <si>
    <t>56/2024-25</t>
  </si>
  <si>
    <t>5. Reference for granting refunds:</t>
  </si>
  <si>
    <t>6. Date of Commencement:</t>
  </si>
  <si>
    <t>21/01/2025</t>
  </si>
  <si>
    <t>7. Stipulated date of Completion:</t>
  </si>
  <si>
    <t>20/03/2025</t>
  </si>
  <si>
    <t>8. Actual Date of Completion:</t>
  </si>
  <si>
    <t>01/03/2025</t>
  </si>
  <si>
    <t>9. MB No.:</t>
  </si>
  <si>
    <t>10. Date of Payment of final bill:</t>
  </si>
  <si>
    <t>11. Date of Expiry of 3/6 months/DLP:</t>
  </si>
  <si>
    <t>01/09/2025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</si>
  <si>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</si>
  <si>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</si>
  <si>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</si>
  <si>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</si>
  <si>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</si>
  <si>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</si>
  <si>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</si>
  <si>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</si>
  <si>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</si>
  <si>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</si>
  <si>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</si>
  <si>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</si>
  <si>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</si>
  <si>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No.- 84308 Date 18-03-2025</t>
  </si>
  <si>
    <t>SD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</si>
  <si>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</si>
  <si>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</si>
  <si>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</si>
  <si>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</si>
  <si>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</si>
  <si>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</si>
  <si>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</si>
  <si>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</si>
  <si>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</si>
  <si>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</si>
  <si>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</si>
  <si>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>3. Name of Work: Electrical Submain Work at Shri Khemraj Katara Satellite Hospital Hiran Magri Udaipur</t>
  </si>
  <si>
    <t>64/2024-25</t>
  </si>
  <si>
    <t>08/02/2025</t>
  </si>
  <si>
    <t>07/04/2025</t>
  </si>
  <si>
    <t>07/10/2025</t>
  </si>
  <si>
    <t>Voucher No.- 1539864 Date 18-07-2025</t>
  </si>
  <si>
    <t>Techno Industries Pvt Ltd</t>
  </si>
  <si>
    <t>3. Name of Work: SITC OF 15 PASSENGER CUM STRECHER ELEVATOR AT 15 BEDDED MCH BUILDING AT NATHDWARA DISTT-RAJSAMAND.</t>
  </si>
  <si>
    <t>62/2023-24</t>
  </si>
  <si>
    <t>16/10/2023</t>
  </si>
  <si>
    <t>15/02/2024</t>
  </si>
  <si>
    <t>15/08/2024</t>
  </si>
  <si>
    <t>Voucher No.- 82240 Date 03-11-2025</t>
  </si>
  <si>
    <t>Voucher No.- 81218 Date 28-03-2024</t>
  </si>
  <si>
    <t>MD-V</t>
  </si>
  <si>
    <t>Technoid Systems Solution</t>
  </si>
  <si>
    <t>3. Name of Work: Remaining LAN Work in New OPD Block and Diagnostic Wing at RNT Medical College, Udaipur</t>
  </si>
  <si>
    <t>19/2022-23</t>
  </si>
  <si>
    <t>26/09/2022</t>
  </si>
  <si>
    <t>25/10/2022</t>
  </si>
  <si>
    <t>23/10/2022</t>
  </si>
  <si>
    <t>23/04/2023</t>
  </si>
  <si>
    <t>Voucher No.- 57524 Date 01-12-2023</t>
  </si>
  <si>
    <t>Uma Ram and Sons</t>
  </si>
  <si>
    <t>3. Name of Work: E/F work in 50 Baded MCH Building at Nathdwara district Udaipur</t>
  </si>
  <si>
    <t>23/2022-23</t>
  </si>
  <si>
    <t>09/10/2022</t>
  </si>
  <si>
    <t>08/02/2024</t>
  </si>
  <si>
    <t>04/04/2024</t>
  </si>
  <si>
    <t>04/10/2024</t>
  </si>
  <si>
    <t>Voucher No.- 24836 Date 08-03-2023</t>
  </si>
  <si>
    <t>Voucher No.- 55549 Date 22-12-2023</t>
  </si>
  <si>
    <t>Voucher No.- 69578 Date 23-02-2024</t>
  </si>
  <si>
    <t>Voucher No.- 60706 Date 24-12-2024</t>
  </si>
  <si>
    <t>Voucher No.- 79048 Date 29-03-2023</t>
  </si>
  <si>
    <t>Voucher No.- 82358 Date 30-03-2024</t>
  </si>
  <si>
    <t>Vikas Enterprises</t>
  </si>
  <si>
    <t>3. Name of Work: Repair and upgradation works of TB Hospital at BADI Udaipur, FDPAID - 77014</t>
  </si>
  <si>
    <t>01/2023-24</t>
  </si>
  <si>
    <t>05/06/2023</t>
  </si>
  <si>
    <t>04/12/2023</t>
  </si>
  <si>
    <t>13/02/2024</t>
  </si>
  <si>
    <t>13/08/2024</t>
  </si>
  <si>
    <t>Voucher No.- 56111 Date 28-12-2023</t>
  </si>
  <si>
    <t>Voucher No.- 81717 Date 29-03-2024</t>
  </si>
  <si>
    <t>3. Name of Work: Electrification of extension of government polytechnic college at dakshin vistaar udaipur</t>
  </si>
  <si>
    <t>15/06/2023</t>
  </si>
  <si>
    <t>14/12/2023</t>
  </si>
  <si>
    <t>10/12/2023</t>
  </si>
  <si>
    <t>10/06/2024</t>
  </si>
  <si>
    <t>Voucher No.- 67076 Date 15-01-2025</t>
  </si>
  <si>
    <t>Voucher No.- 62058 Date 30-12-2024</t>
  </si>
  <si>
    <t>Voucher No.- 91891 Date 31-03-2025</t>
  </si>
  <si>
    <t>3. Name of Work: AMC Work of APFC Panel Installed at DJ Court Campus, Udaipur</t>
  </si>
  <si>
    <t>05/2024-25</t>
  </si>
  <si>
    <t>31/08/2024</t>
  </si>
  <si>
    <t>30/08/2025</t>
  </si>
  <si>
    <t>Voucher No.- 91043 Date 30-03-2025</t>
  </si>
  <si>
    <t>3. Name of Work: Electrification Work in Statistics Department in Bedla Udaipur</t>
  </si>
  <si>
    <t>09/2022-23</t>
  </si>
  <si>
    <t>27/06/2022</t>
  </si>
  <si>
    <t>26/12/2022</t>
  </si>
  <si>
    <t>29/07/2022</t>
  </si>
  <si>
    <t>29/01/2023</t>
  </si>
  <si>
    <t>Voucher No.- 73736 Date 03-11-2024</t>
  </si>
  <si>
    <t>3. Name of Work: Earthing work and other repair work at excise building at udaipur</t>
  </si>
  <si>
    <t>101/2023-24</t>
  </si>
  <si>
    <t>24/03/2024</t>
  </si>
  <si>
    <t>23/06/2024</t>
  </si>
  <si>
    <t>13/06/2024</t>
  </si>
  <si>
    <t>13/12/2024</t>
  </si>
  <si>
    <t>Voucher No.- 38649 Date 10-11-2023</t>
  </si>
  <si>
    <t>Voucher No.- 52177 Date 20-11-2024</t>
  </si>
  <si>
    <t>3. Name of Work: Electric Renovation &amp; Maintenance of Dining Hall &amp; Mess at HCM RIPA Udaipur</t>
  </si>
  <si>
    <t>102/2023-24</t>
  </si>
  <si>
    <t>23/09/2024</t>
  </si>
  <si>
    <t>18/12/2025</t>
  </si>
  <si>
    <t>18/06/2026</t>
  </si>
  <si>
    <t>Voucher No.- 92518 Date 31-03-2025</t>
  </si>
  <si>
    <t>3. Name of Work: Electrification(Repair and Upgradation) work in Rajkiya Sampreshan avam Kishore Grah Building Udaipur</t>
  </si>
  <si>
    <t>11/2022-23</t>
  </si>
  <si>
    <t>05/12/2022</t>
  </si>
  <si>
    <t>Voucher No.- 79821 Date 31-03-2023</t>
  </si>
  <si>
    <t>3. Name of Work: HTDP structure related work in Mines &amp; Geology Deptt. Udaipur</t>
  </si>
  <si>
    <t>113/2020-21</t>
  </si>
  <si>
    <t>21/03/2021</t>
  </si>
  <si>
    <t>04/04/2021</t>
  </si>
  <si>
    <t>12/03/2021</t>
  </si>
  <si>
    <t>12/09/2021</t>
  </si>
  <si>
    <t>Voucher No.- 77634 Date 27-03-2023</t>
  </si>
  <si>
    <t>3. Name of Work: Electric Repair and Mtc in Electric Panel romm at Shri SundeR.S.ingh Bhandari Hospital Chandpol Udaipur</t>
  </si>
  <si>
    <t>115/2020-21</t>
  </si>
  <si>
    <t>01/04/2021</t>
  </si>
  <si>
    <t>01/10/2021</t>
  </si>
  <si>
    <t>Voucher No.- 77871 Date 27-03-2023</t>
  </si>
  <si>
    <t>3. Name of Work: Providing of Labour for Day to Day Electric Maintenance Work in Govt. Non Residential Building Udaipur</t>
  </si>
  <si>
    <t>17/2024-25</t>
  </si>
  <si>
    <t>25/10/2024</t>
  </si>
  <si>
    <t>24/10/2025</t>
  </si>
  <si>
    <t>Voucher No.- 82234 Date 03-11-2025</t>
  </si>
  <si>
    <t>Voucher No.- 3944 Date 22-04-2024</t>
  </si>
  <si>
    <t>3. Name of Work: E/f work in Classroom at Govt. Sr. Secondry School Kunthwa Khamnor Rajsamand</t>
  </si>
  <si>
    <t>20/2022-23</t>
  </si>
  <si>
    <t>30/09/2022</t>
  </si>
  <si>
    <t>29/07/2023</t>
  </si>
  <si>
    <t>15/02/2023</t>
  </si>
  <si>
    <t>15/08/2023</t>
  </si>
  <si>
    <t>Voucher No.- 68475 Date 23-02-2023</t>
  </si>
  <si>
    <t>Voucher No.- 78087 Date 28-03-2023</t>
  </si>
  <si>
    <t>3. Name of Work: EF work in class room at Govt sR.S.econdary School Khamnore Distt Rajsamand</t>
  </si>
  <si>
    <t>21/2022-23</t>
  </si>
  <si>
    <t>29/01/2024</t>
  </si>
  <si>
    <t>Voucher No.- 24662 Date 08-02-2023</t>
  </si>
  <si>
    <t>Voucher No.- 52315 Date 12-08-2023</t>
  </si>
  <si>
    <t>3. Name of Work: Electric Repair Work in Govt. Residential Vth Type Building Udaipur</t>
  </si>
  <si>
    <t>21/2024-25</t>
  </si>
  <si>
    <t>17/11/2024</t>
  </si>
  <si>
    <t>16/07/2025</t>
  </si>
  <si>
    <t>10/06/2025</t>
  </si>
  <si>
    <t>10/12/2025</t>
  </si>
  <si>
    <t>Voucher No.- 86639 Date 24-03-2025</t>
  </si>
  <si>
    <t>Voucher No.- 4171 Date 26-04-2023</t>
  </si>
  <si>
    <t>Voucher No.- 4108 Date 26-04-2023</t>
  </si>
  <si>
    <t>3. Name of Work: Electric Repair Work in Govt. Residential Ist and IInd Building Udaipur</t>
  </si>
  <si>
    <t>24/2024-25</t>
  </si>
  <si>
    <t>15/01/2025</t>
  </si>
  <si>
    <t>15/07/2025</t>
  </si>
  <si>
    <t>Voucher No.- 82230 Date 03-11-2025</t>
  </si>
  <si>
    <t>3. Name of Work: Electric repair and Maintenace work in trauma and blood bank at MBGH campus Udaipur</t>
  </si>
  <si>
    <t>31/2023-24</t>
  </si>
  <si>
    <t>13/09/2023</t>
  </si>
  <si>
    <t>12/01/2024</t>
  </si>
  <si>
    <t>10/01/2024</t>
  </si>
  <si>
    <t>10/07/2024</t>
  </si>
  <si>
    <t>Voucher No.- 31646 Date 09-02-2024</t>
  </si>
  <si>
    <t>Voucher No.- 62653 Date 31-01-2024</t>
  </si>
  <si>
    <t>3. Name of Work: Electri repair and maintenance work in Lecture theatre exam Building auditiorium old libary, badminton court at RNT Medical college Udaipur</t>
  </si>
  <si>
    <t>32/2023-24</t>
  </si>
  <si>
    <t>12/07/2024</t>
  </si>
  <si>
    <t>Voucher No.- 31647 Date 09-02-2024</t>
  </si>
  <si>
    <t>Voucher No.- 75373 Date 15-03-2024</t>
  </si>
  <si>
    <t>3. Name of Work: Electric repair and maintenance work in various hostel (New Junior boys,SR hostel, Intern hostel Nursing Hostel ) at RNT Medical college Udaipur</t>
  </si>
  <si>
    <t>33/2023-24</t>
  </si>
  <si>
    <t>10/03/2024</t>
  </si>
  <si>
    <t>10/09/2024</t>
  </si>
  <si>
    <t>Voucher No.- 31648 Date 09-02-2024</t>
  </si>
  <si>
    <t>Voucher No.- 78398 Date 22-03-2024</t>
  </si>
  <si>
    <t>3. Name of Work: Supply and fixing of AMF panel for DG set at satellite Hospital Ambamata Udaipur</t>
  </si>
  <si>
    <t>34/2022-23</t>
  </si>
  <si>
    <t>20/11/2022</t>
  </si>
  <si>
    <t>19/02/2023</t>
  </si>
  <si>
    <t>01/02/2023</t>
  </si>
  <si>
    <t>01/08/2023</t>
  </si>
  <si>
    <t>Voucher No.- 79815 Date 31-03-2023</t>
  </si>
  <si>
    <t>3. Name of Work: Electric Repair and maintenance work of Cardiology and SSH Building at MB Hospital Campus Udaipur</t>
  </si>
  <si>
    <t>34/2024-25</t>
  </si>
  <si>
    <t>24/04/2024</t>
  </si>
  <si>
    <t>24/10/2024</t>
  </si>
  <si>
    <t>Voucher No.- 34574 Date 09-11-2024</t>
  </si>
  <si>
    <t>Voucher No.- 77873 Date 27-03-2023</t>
  </si>
  <si>
    <t>Voucher No.- 77872 Date 27-03-2023</t>
  </si>
  <si>
    <t>3. Name of Work: Electric renovation of Jr. and Sr Girls Hostel building at RNT Medical College Udaipur</t>
  </si>
  <si>
    <t>35/2021-22</t>
  </si>
  <si>
    <t>05/10/2021</t>
  </si>
  <si>
    <t>04/04/2022</t>
  </si>
  <si>
    <t>03/04/2022</t>
  </si>
  <si>
    <t>03/10/2022</t>
  </si>
  <si>
    <t>Voucher No.- 44974 Date 16-11-2022</t>
  </si>
  <si>
    <t>07/2024-25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</si>
</sst>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25801</v>
      </c>
    </row>
    <row r="4" spans="1:5" ht="32.1" customHeight="1" x14ac:dyDescent="0.25">
      <c r="A4" s="16" t="s">
        <v>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31</v>
      </c>
      <c r="B21" s="15"/>
      <c r="C21" s="7"/>
      <c r="D21" s="7" t="s">
        <v>32</v>
      </c>
      <c r="E21" s="7">
        <v>25801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25801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29065</v>
      </c>
    </row>
    <row r="4" spans="1:5" ht="32.1" customHeight="1" x14ac:dyDescent="0.25">
      <c r="A4" s="16" t="s">
        <v>44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45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46</v>
      </c>
    </row>
    <row r="8" spans="1:5" ht="20.100000000000001" customHeight="1" x14ac:dyDescent="0.25">
      <c r="A8" s="1" t="s">
        <v>10</v>
      </c>
      <c r="E8" s="2" t="s">
        <v>47</v>
      </c>
    </row>
    <row r="9" spans="1:5" ht="20.100000000000001" customHeight="1" x14ac:dyDescent="0.25">
      <c r="A9" s="1" t="s">
        <v>12</v>
      </c>
      <c r="E9" s="2" t="s">
        <v>47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48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49</v>
      </c>
      <c r="B21" s="15"/>
      <c r="C21" s="7"/>
      <c r="D21" s="7" t="s">
        <v>32</v>
      </c>
      <c r="E21" s="7">
        <v>29065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29065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50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246549</v>
      </c>
    </row>
    <row r="4" spans="1:5" ht="32.1" customHeight="1" x14ac:dyDescent="0.25">
      <c r="A4" s="16" t="s">
        <v>51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52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53</v>
      </c>
    </row>
    <row r="8" spans="1:5" ht="20.100000000000001" customHeight="1" x14ac:dyDescent="0.25">
      <c r="A8" s="1" t="s">
        <v>10</v>
      </c>
      <c r="E8" s="2" t="s">
        <v>54</v>
      </c>
    </row>
    <row r="9" spans="1:5" ht="20.100000000000001" customHeight="1" x14ac:dyDescent="0.25">
      <c r="A9" s="1" t="s">
        <v>12</v>
      </c>
      <c r="E9" s="2" t="s">
        <v>54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55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56</v>
      </c>
      <c r="B21" s="15"/>
      <c r="C21" s="7"/>
      <c r="D21" s="7" t="s">
        <v>32</v>
      </c>
      <c r="E21" s="7">
        <v>31749</v>
      </c>
    </row>
    <row r="22" spans="1:5" ht="36" customHeight="1" x14ac:dyDescent="0.25">
      <c r="A22" s="14" t="s">
        <v>57</v>
      </c>
      <c r="B22" s="15"/>
      <c r="C22" s="7"/>
      <c r="D22" s="7" t="s">
        <v>32</v>
      </c>
      <c r="E22" s="7">
        <v>114800</v>
      </c>
    </row>
    <row r="23" spans="1:5" ht="36" customHeight="1" x14ac:dyDescent="0.25">
      <c r="A23" s="14" t="s">
        <v>56</v>
      </c>
      <c r="B23" s="15"/>
      <c r="C23" s="7"/>
      <c r="D23" s="7" t="s">
        <v>58</v>
      </c>
      <c r="E23" s="7">
        <v>100000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246549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59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18893</v>
      </c>
    </row>
    <row r="4" spans="1:5" ht="32.1" customHeight="1" x14ac:dyDescent="0.25">
      <c r="A4" s="16" t="s">
        <v>60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61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62</v>
      </c>
    </row>
    <row r="8" spans="1:5" ht="20.100000000000001" customHeight="1" x14ac:dyDescent="0.25">
      <c r="A8" s="1" t="s">
        <v>10</v>
      </c>
      <c r="E8" s="2" t="s">
        <v>63</v>
      </c>
    </row>
    <row r="9" spans="1:5" ht="20.100000000000001" customHeight="1" x14ac:dyDescent="0.25">
      <c r="A9" s="1" t="s">
        <v>12</v>
      </c>
      <c r="E9" s="2" t="s">
        <v>64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65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66</v>
      </c>
      <c r="B21" s="15"/>
      <c r="C21" s="7"/>
      <c r="D21" s="7" t="s">
        <v>32</v>
      </c>
      <c r="E21" s="7">
        <v>18893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18893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67</v>
      </c>
      <c r="D2" s="12"/>
      <c r="E2" s="12"/>
    </row>
    <row r="3" spans="1:5" ht="20.100000000000001" customHeight="1" x14ac:dyDescent="0.25">
      <c r="A3" s="1" t="s">
        <v>3</v>
      </c>
      <c r="C3" s="3"/>
      <c r="E3" s="2" t="str">
        <f ca="1">E26</f>
        <v/>
      </c>
    </row>
    <row r="4" spans="1:5" ht="32.1" customHeight="1" x14ac:dyDescent="0.25">
      <c r="A4" s="16" t="s">
        <v>68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69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70</v>
      </c>
    </row>
    <row r="8" spans="1:5" ht="20.100000000000001" customHeight="1" x14ac:dyDescent="0.25">
      <c r="A8" s="1" t="s">
        <v>10</v>
      </c>
      <c r="E8" s="2" t="s">
        <v>71</v>
      </c>
    </row>
    <row r="9" spans="1:5" ht="20.100000000000001" customHeight="1" x14ac:dyDescent="0.25">
      <c r="A9" s="1" t="s">
        <v>12</v>
      </c>
      <c r="E9" s="2" t="s">
        <v>72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73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74</v>
      </c>
      <c r="B21" s="15"/>
      <c r="C21" s="7"/>
      <c r="D21" s="7" t="s">
        <v>32</v>
      </c>
      <c r="E21" s="7">
        <v>139904</v>
      </c>
    </row>
    <row r="22" spans="1:5" ht="36" customHeight="1" x14ac:dyDescent="0.25">
      <c r="A22" s="14" t="s">
        <v>75</v>
      </c>
      <c r="B22" s="15"/>
      <c r="C22" s="7"/>
      <c r="D22" s="7" t="s">
        <v>32</v>
      </c>
      <c r="E22" s="7">
        <v>285563</v>
      </c>
    </row>
    <row r="23" spans="1:5" ht="36" customHeight="1" x14ac:dyDescent="0.25">
      <c r="A23" s="14" t="s">
        <v>76</v>
      </c>
      <c r="B23" s="15"/>
      <c r="C23" s="7"/>
      <c r="D23" s="7" t="s">
        <v>32</v>
      </c>
      <c r="E23" s="7">
        <v>300809</v>
      </c>
    </row>
    <row r="24" spans="1:5" ht="36" customHeight="1" x14ac:dyDescent="0.25">
      <c r="A24" s="14" t="s">
        <v>77</v>
      </c>
      <c r="B24" s="15"/>
      <c r="C24" s="7"/>
      <c r="D24" s="7" t="s">
        <v>32</v>
      </c>
      <c r="E24" s="7">
        <v>250790</v>
      </c>
    </row>
    <row r="25" spans="1:5" ht="36" customHeight="1" x14ac:dyDescent="0.25">
      <c r="A25" s="14" t="s">
        <v>78</v>
      </c>
      <c r="B25" s="15"/>
      <c r="C25" s="7"/>
      <c r="D25" s="7" t="s">
        <v>32</v>
      </c>
      <c r="E25" s="7">
        <v>11917</v>
      </c>
    </row>
    <row r="26" spans="1:5" ht="36" customHeight="1" x14ac:dyDescent="0.25">
      <c r="A26" s="14" t="s">
        <v>33</v>
      </c>
      <c r="B26" s="15"/>
      <c r="C26" s="7"/>
      <c r="D26" s="7" t="s">
        <v>32</v>
      </c>
      <c r="E26" s="7" t="str">
        <f ca="1">SUM(E21:E28)</f>
        <v/>
      </c>
    </row>
    <row r="27" spans="1:5" ht="36" customHeight="1" x14ac:dyDescent="0.25">
      <c r="A27" s="21" t="s">
        <v>77</v>
      </c>
      <c r="B27" s="15"/>
      <c r="C27" s="6"/>
      <c r="D27" s="6" t="s">
        <v>58</v>
      </c>
      <c r="E27" s="6">
        <v>300000</v>
      </c>
    </row>
    <row r="28" spans="1:5" ht="36" customHeight="1" x14ac:dyDescent="0.25">
      <c r="A28" s="20" t="s">
        <v>79</v>
      </c>
      <c r="B28" s="15"/>
      <c r="C28" s="6"/>
      <c r="D28" s="6" t="s">
        <v>58</v>
      </c>
      <c r="E28" s="6">
        <v>350908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3">
    <mergeCell ref="A26:B26"/>
    <mergeCell ref="A25:B25"/>
    <mergeCell ref="A28:B28"/>
    <mergeCell ref="A1:E1"/>
    <mergeCell ref="A32:E32"/>
    <mergeCell ref="A23:B23"/>
    <mergeCell ref="A27:B27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259432</v>
      </c>
    </row>
    <row r="4" spans="1:5" ht="32.1" customHeight="1" x14ac:dyDescent="0.25">
      <c r="A4" s="16" t="s">
        <v>81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82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83</v>
      </c>
    </row>
    <row r="8" spans="1:5" ht="20.100000000000001" customHeight="1" x14ac:dyDescent="0.25">
      <c r="A8" s="1" t="s">
        <v>10</v>
      </c>
      <c r="E8" s="2" t="s">
        <v>84</v>
      </c>
    </row>
    <row r="9" spans="1:5" ht="20.100000000000001" customHeight="1" x14ac:dyDescent="0.25">
      <c r="A9" s="1" t="s">
        <v>12</v>
      </c>
      <c r="E9" s="2" t="s">
        <v>85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86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87</v>
      </c>
      <c r="B21" s="15"/>
      <c r="C21" s="7"/>
      <c r="D21" s="7" t="s">
        <v>32</v>
      </c>
      <c r="E21" s="7">
        <v>35207</v>
      </c>
    </row>
    <row r="22" spans="1:5" ht="36" customHeight="1" x14ac:dyDescent="0.25">
      <c r="A22" s="14" t="s">
        <v>88</v>
      </c>
      <c r="B22" s="15"/>
      <c r="C22" s="7"/>
      <c r="D22" s="7" t="s">
        <v>32</v>
      </c>
      <c r="E22" s="7">
        <v>124225</v>
      </c>
    </row>
    <row r="23" spans="1:5" ht="36" customHeight="1" x14ac:dyDescent="0.25">
      <c r="A23" s="14" t="s">
        <v>88</v>
      </c>
      <c r="B23" s="15"/>
      <c r="C23" s="7"/>
      <c r="D23" s="7" t="s">
        <v>58</v>
      </c>
      <c r="E23" s="7">
        <v>100000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259432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J12" sqref="J1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153498</v>
      </c>
    </row>
    <row r="4" spans="1:5" ht="32.1" customHeight="1" x14ac:dyDescent="0.25">
      <c r="A4" s="16" t="s">
        <v>89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212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90</v>
      </c>
    </row>
    <row r="8" spans="1:5" ht="20.100000000000001" customHeight="1" x14ac:dyDescent="0.25">
      <c r="A8" s="1" t="s">
        <v>10</v>
      </c>
      <c r="E8" s="2" t="s">
        <v>91</v>
      </c>
    </row>
    <row r="9" spans="1:5" ht="20.100000000000001" customHeight="1" x14ac:dyDescent="0.25">
      <c r="A9" s="1" t="s">
        <v>12</v>
      </c>
      <c r="E9" s="2" t="s">
        <v>92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93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94</v>
      </c>
      <c r="B21" s="15"/>
      <c r="C21" s="7"/>
      <c r="D21" s="7" t="s">
        <v>32</v>
      </c>
      <c r="E21" s="7">
        <v>60003</v>
      </c>
    </row>
    <row r="22" spans="1:5" ht="36" customHeight="1" x14ac:dyDescent="0.25">
      <c r="A22" s="14" t="s">
        <v>95</v>
      </c>
      <c r="B22" s="15"/>
      <c r="C22" s="7"/>
      <c r="D22" s="7" t="s">
        <v>32</v>
      </c>
      <c r="E22" s="7">
        <v>59743</v>
      </c>
    </row>
    <row r="23" spans="1:5" ht="36" customHeight="1" x14ac:dyDescent="0.25">
      <c r="A23" s="14" t="s">
        <v>96</v>
      </c>
      <c r="B23" s="15"/>
      <c r="C23" s="7"/>
      <c r="D23" s="7" t="s">
        <v>32</v>
      </c>
      <c r="E23" s="7">
        <v>33752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153498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2460</v>
      </c>
    </row>
    <row r="4" spans="1:5" ht="32.1" customHeight="1" x14ac:dyDescent="0.25">
      <c r="A4" s="16" t="s">
        <v>97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98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99</v>
      </c>
    </row>
    <row r="8" spans="1:5" ht="20.100000000000001" customHeight="1" x14ac:dyDescent="0.25">
      <c r="A8" s="1" t="s">
        <v>10</v>
      </c>
      <c r="E8" s="2" t="s">
        <v>100</v>
      </c>
    </row>
    <row r="9" spans="1:5" ht="20.100000000000001" customHeight="1" x14ac:dyDescent="0.25">
      <c r="A9" s="1" t="s">
        <v>12</v>
      </c>
      <c r="E9" s="2"/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/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101</v>
      </c>
      <c r="B21" s="15"/>
      <c r="C21" s="7"/>
      <c r="D21" s="7" t="s">
        <v>32</v>
      </c>
      <c r="E21" s="7">
        <v>2460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2460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2231</v>
      </c>
    </row>
    <row r="4" spans="1:5" ht="32.1" customHeight="1" x14ac:dyDescent="0.25">
      <c r="A4" s="16" t="s">
        <v>102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103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104</v>
      </c>
    </row>
    <row r="8" spans="1:5" ht="20.100000000000001" customHeight="1" x14ac:dyDescent="0.25">
      <c r="A8" s="1" t="s">
        <v>10</v>
      </c>
      <c r="E8" s="2" t="s">
        <v>105</v>
      </c>
    </row>
    <row r="9" spans="1:5" ht="20.100000000000001" customHeight="1" x14ac:dyDescent="0.25">
      <c r="A9" s="1" t="s">
        <v>12</v>
      </c>
      <c r="E9" s="2" t="s">
        <v>106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107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108</v>
      </c>
      <c r="B21" s="15"/>
      <c r="C21" s="7"/>
      <c r="D21" s="7" t="s">
        <v>32</v>
      </c>
      <c r="E21" s="7">
        <v>2231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2231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48726</v>
      </c>
    </row>
    <row r="4" spans="1:5" ht="32.1" customHeight="1" x14ac:dyDescent="0.25">
      <c r="A4" s="16" t="s">
        <v>109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110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111</v>
      </c>
    </row>
    <row r="8" spans="1:5" ht="20.100000000000001" customHeight="1" x14ac:dyDescent="0.25">
      <c r="A8" s="1" t="s">
        <v>10</v>
      </c>
      <c r="E8" s="2" t="s">
        <v>112</v>
      </c>
    </row>
    <row r="9" spans="1:5" ht="20.100000000000001" customHeight="1" x14ac:dyDescent="0.25">
      <c r="A9" s="1" t="s">
        <v>12</v>
      </c>
      <c r="E9" s="2" t="s">
        <v>113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114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115</v>
      </c>
      <c r="B21" s="15"/>
      <c r="C21" s="7"/>
      <c r="D21" s="7" t="s">
        <v>32</v>
      </c>
      <c r="E21" s="7">
        <v>42848</v>
      </c>
    </row>
    <row r="22" spans="1:5" ht="36" customHeight="1" x14ac:dyDescent="0.25">
      <c r="A22" s="14" t="s">
        <v>116</v>
      </c>
      <c r="B22" s="15"/>
      <c r="C22" s="7"/>
      <c r="D22" s="7" t="s">
        <v>32</v>
      </c>
      <c r="E22" s="7">
        <v>5878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48726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32199</v>
      </c>
    </row>
    <row r="4" spans="1:5" ht="32.1" customHeight="1" x14ac:dyDescent="0.25">
      <c r="A4" s="16" t="s">
        <v>117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118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111</v>
      </c>
    </row>
    <row r="8" spans="1:5" ht="20.100000000000001" customHeight="1" x14ac:dyDescent="0.25">
      <c r="A8" s="1" t="s">
        <v>10</v>
      </c>
      <c r="E8" s="2" t="s">
        <v>119</v>
      </c>
    </row>
    <row r="9" spans="1:5" ht="20.100000000000001" customHeight="1" x14ac:dyDescent="0.25">
      <c r="A9" s="1" t="s">
        <v>12</v>
      </c>
      <c r="E9" s="2" t="s">
        <v>120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121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122</v>
      </c>
      <c r="B21" s="15"/>
      <c r="C21" s="7"/>
      <c r="D21" s="7" t="s">
        <v>32</v>
      </c>
      <c r="E21" s="7">
        <v>32199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32199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4839</v>
      </c>
    </row>
    <row r="4" spans="1:5" ht="32.1" customHeight="1" x14ac:dyDescent="0.25">
      <c r="A4" s="16" t="s">
        <v>123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124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104</v>
      </c>
    </row>
    <row r="8" spans="1:5" ht="20.100000000000001" customHeight="1" x14ac:dyDescent="0.25">
      <c r="A8" s="1" t="s">
        <v>10</v>
      </c>
      <c r="E8" s="2" t="s">
        <v>105</v>
      </c>
    </row>
    <row r="9" spans="1:5" ht="20.100000000000001" customHeight="1" x14ac:dyDescent="0.25">
      <c r="A9" s="1" t="s">
        <v>12</v>
      </c>
      <c r="E9" s="2" t="s">
        <v>125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83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126</v>
      </c>
      <c r="B21" s="15"/>
      <c r="C21" s="7"/>
      <c r="D21" s="7" t="s">
        <v>32</v>
      </c>
      <c r="E21" s="7">
        <v>4839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4839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685</v>
      </c>
    </row>
    <row r="4" spans="1:5" ht="32.1" customHeight="1" x14ac:dyDescent="0.25">
      <c r="A4" s="16" t="s">
        <v>127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128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129</v>
      </c>
    </row>
    <row r="8" spans="1:5" ht="20.100000000000001" customHeight="1" x14ac:dyDescent="0.25">
      <c r="A8" s="1" t="s">
        <v>10</v>
      </c>
      <c r="E8" s="2" t="s">
        <v>130</v>
      </c>
    </row>
    <row r="9" spans="1:5" ht="20.100000000000001" customHeight="1" x14ac:dyDescent="0.25">
      <c r="A9" s="1" t="s">
        <v>12</v>
      </c>
      <c r="E9" s="2" t="s">
        <v>131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132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133</v>
      </c>
      <c r="B21" s="15"/>
      <c r="C21" s="7"/>
      <c r="D21" s="7" t="s">
        <v>32</v>
      </c>
      <c r="E21" s="7">
        <v>685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685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614</v>
      </c>
    </row>
    <row r="4" spans="1:5" ht="32.1" customHeight="1" x14ac:dyDescent="0.25">
      <c r="A4" s="16" t="s">
        <v>134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135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129</v>
      </c>
    </row>
    <row r="8" spans="1:5" ht="20.100000000000001" customHeight="1" x14ac:dyDescent="0.25">
      <c r="A8" s="1" t="s">
        <v>10</v>
      </c>
      <c r="E8" s="2" t="s">
        <v>130</v>
      </c>
    </row>
    <row r="9" spans="1:5" ht="20.100000000000001" customHeight="1" x14ac:dyDescent="0.25">
      <c r="A9" s="1" t="s">
        <v>12</v>
      </c>
      <c r="E9" s="2" t="s">
        <v>136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137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138</v>
      </c>
      <c r="B21" s="15"/>
      <c r="C21" s="7"/>
      <c r="D21" s="7" t="s">
        <v>32</v>
      </c>
      <c r="E21" s="7">
        <v>614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614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7535</v>
      </c>
    </row>
    <row r="4" spans="1:5" ht="32.1" customHeight="1" x14ac:dyDescent="0.25">
      <c r="A4" s="16" t="s">
        <v>139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140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141</v>
      </c>
    </row>
    <row r="8" spans="1:5" ht="20.100000000000001" customHeight="1" x14ac:dyDescent="0.25">
      <c r="A8" s="1" t="s">
        <v>10</v>
      </c>
      <c r="E8" s="2" t="s">
        <v>142</v>
      </c>
    </row>
    <row r="9" spans="1:5" ht="20.100000000000001" customHeight="1" x14ac:dyDescent="0.25">
      <c r="A9" s="1" t="s">
        <v>12</v>
      </c>
      <c r="E9" s="2"/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/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143</v>
      </c>
      <c r="B21" s="15"/>
      <c r="C21" s="7"/>
      <c r="D21" s="7" t="s">
        <v>32</v>
      </c>
      <c r="E21" s="7">
        <v>1868</v>
      </c>
    </row>
    <row r="22" spans="1:5" ht="36" customHeight="1" x14ac:dyDescent="0.25">
      <c r="A22" s="14" t="s">
        <v>144</v>
      </c>
      <c r="B22" s="15"/>
      <c r="C22" s="7"/>
      <c r="D22" s="7" t="s">
        <v>32</v>
      </c>
      <c r="E22" s="7">
        <v>5667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7535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26910</v>
      </c>
    </row>
    <row r="4" spans="1:5" ht="32.1" customHeight="1" x14ac:dyDescent="0.25">
      <c r="A4" s="16" t="s">
        <v>145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146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147</v>
      </c>
    </row>
    <row r="8" spans="1:5" ht="20.100000000000001" customHeight="1" x14ac:dyDescent="0.25">
      <c r="A8" s="1" t="s">
        <v>10</v>
      </c>
      <c r="E8" s="2" t="s">
        <v>148</v>
      </c>
    </row>
    <row r="9" spans="1:5" ht="20.100000000000001" customHeight="1" x14ac:dyDescent="0.25">
      <c r="A9" s="1" t="s">
        <v>12</v>
      </c>
      <c r="E9" s="2" t="s">
        <v>149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150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151</v>
      </c>
      <c r="B21" s="15"/>
      <c r="C21" s="7"/>
      <c r="D21" s="7" t="s">
        <v>32</v>
      </c>
      <c r="E21" s="7">
        <v>13513</v>
      </c>
    </row>
    <row r="22" spans="1:5" ht="36" customHeight="1" x14ac:dyDescent="0.25">
      <c r="A22" s="14" t="s">
        <v>152</v>
      </c>
      <c r="B22" s="15"/>
      <c r="C22" s="7"/>
      <c r="D22" s="7" t="s">
        <v>32</v>
      </c>
      <c r="E22" s="7">
        <v>13397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26910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75282</v>
      </c>
    </row>
    <row r="4" spans="1:5" ht="32.1" customHeight="1" x14ac:dyDescent="0.25">
      <c r="A4" s="16" t="s">
        <v>153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154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147</v>
      </c>
    </row>
    <row r="8" spans="1:5" ht="20.100000000000001" customHeight="1" x14ac:dyDescent="0.25">
      <c r="A8" s="1" t="s">
        <v>10</v>
      </c>
      <c r="E8" s="2" t="s">
        <v>148</v>
      </c>
    </row>
    <row r="9" spans="1:5" ht="20.100000000000001" customHeight="1" x14ac:dyDescent="0.25">
      <c r="A9" s="1" t="s">
        <v>12</v>
      </c>
      <c r="E9" s="2" t="s">
        <v>148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155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156</v>
      </c>
      <c r="B21" s="15"/>
      <c r="C21" s="7"/>
      <c r="D21" s="7" t="s">
        <v>32</v>
      </c>
      <c r="E21" s="7">
        <v>19851</v>
      </c>
    </row>
    <row r="22" spans="1:5" ht="36" customHeight="1" x14ac:dyDescent="0.25">
      <c r="A22" s="14" t="s">
        <v>157</v>
      </c>
      <c r="B22" s="15"/>
      <c r="C22" s="7"/>
      <c r="D22" s="7" t="s">
        <v>32</v>
      </c>
      <c r="E22" s="7">
        <v>55431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75282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12715</v>
      </c>
    </row>
    <row r="4" spans="1:5" ht="32.1" customHeight="1" x14ac:dyDescent="0.25">
      <c r="A4" s="16" t="s">
        <v>158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159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160</v>
      </c>
    </row>
    <row r="8" spans="1:5" ht="20.100000000000001" customHeight="1" x14ac:dyDescent="0.25">
      <c r="A8" s="1" t="s">
        <v>10</v>
      </c>
      <c r="E8" s="2" t="s">
        <v>161</v>
      </c>
    </row>
    <row r="9" spans="1:5" ht="20.100000000000001" customHeight="1" x14ac:dyDescent="0.25">
      <c r="A9" s="1" t="s">
        <v>12</v>
      </c>
      <c r="E9" s="2" t="s">
        <v>162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163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164</v>
      </c>
      <c r="B21" s="15"/>
      <c r="C21" s="7"/>
      <c r="D21" s="7" t="s">
        <v>32</v>
      </c>
      <c r="E21" s="7">
        <v>6881</v>
      </c>
    </row>
    <row r="22" spans="1:5" ht="36" customHeight="1" x14ac:dyDescent="0.25">
      <c r="A22" s="14" t="s">
        <v>165</v>
      </c>
      <c r="B22" s="15"/>
      <c r="C22" s="7"/>
      <c r="D22" s="7" t="s">
        <v>32</v>
      </c>
      <c r="E22" s="7">
        <v>2725</v>
      </c>
    </row>
    <row r="23" spans="1:5" ht="36" customHeight="1" x14ac:dyDescent="0.25">
      <c r="A23" s="14" t="s">
        <v>166</v>
      </c>
      <c r="B23" s="15"/>
      <c r="C23" s="7"/>
      <c r="D23" s="7" t="s">
        <v>32</v>
      </c>
      <c r="E23" s="7">
        <v>3109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12715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4972</v>
      </c>
    </row>
    <row r="4" spans="1:5" ht="32.1" customHeight="1" x14ac:dyDescent="0.25">
      <c r="A4" s="16" t="s">
        <v>167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168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160</v>
      </c>
    </row>
    <row r="8" spans="1:5" ht="20.100000000000001" customHeight="1" x14ac:dyDescent="0.25">
      <c r="A8" s="1" t="s">
        <v>10</v>
      </c>
      <c r="E8" s="2" t="s">
        <v>161</v>
      </c>
    </row>
    <row r="9" spans="1:5" ht="20.100000000000001" customHeight="1" x14ac:dyDescent="0.25">
      <c r="A9" s="1" t="s">
        <v>12</v>
      </c>
      <c r="E9" s="2" t="s">
        <v>169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170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171</v>
      </c>
      <c r="B21" s="15"/>
      <c r="C21" s="7"/>
      <c r="D21" s="7" t="s">
        <v>32</v>
      </c>
      <c r="E21" s="7">
        <v>4972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4972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38943</v>
      </c>
    </row>
    <row r="4" spans="1:5" ht="32.1" customHeight="1" x14ac:dyDescent="0.25">
      <c r="A4" s="16" t="s">
        <v>172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173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174</v>
      </c>
    </row>
    <row r="8" spans="1:5" ht="20.100000000000001" customHeight="1" x14ac:dyDescent="0.25">
      <c r="A8" s="1" t="s">
        <v>10</v>
      </c>
      <c r="E8" s="2" t="s">
        <v>175</v>
      </c>
    </row>
    <row r="9" spans="1:5" ht="20.100000000000001" customHeight="1" x14ac:dyDescent="0.25">
      <c r="A9" s="1" t="s">
        <v>12</v>
      </c>
      <c r="E9" s="2" t="s">
        <v>176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178</v>
      </c>
      <c r="B21" s="15"/>
      <c r="C21" s="7"/>
      <c r="D21" s="7" t="s">
        <v>32</v>
      </c>
      <c r="E21" s="7">
        <v>16372</v>
      </c>
    </row>
    <row r="22" spans="1:5" ht="36" customHeight="1" x14ac:dyDescent="0.25">
      <c r="A22" s="14" t="s">
        <v>179</v>
      </c>
      <c r="B22" s="15"/>
      <c r="C22" s="7"/>
      <c r="D22" s="7" t="s">
        <v>32</v>
      </c>
      <c r="E22" s="7">
        <v>22571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38943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60272</v>
      </c>
    </row>
    <row r="4" spans="1:5" ht="32.1" customHeight="1" x14ac:dyDescent="0.25">
      <c r="A4" s="16" t="s">
        <v>180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181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174</v>
      </c>
    </row>
    <row r="8" spans="1:5" ht="20.100000000000001" customHeight="1" x14ac:dyDescent="0.25">
      <c r="A8" s="1" t="s">
        <v>10</v>
      </c>
      <c r="E8" s="2" t="s">
        <v>175</v>
      </c>
    </row>
    <row r="9" spans="1:5" ht="20.100000000000001" customHeight="1" x14ac:dyDescent="0.25">
      <c r="A9" s="1" t="s">
        <v>12</v>
      </c>
      <c r="E9" s="2" t="s">
        <v>175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182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183</v>
      </c>
      <c r="B21" s="15"/>
      <c r="C21" s="7"/>
      <c r="D21" s="7" t="s">
        <v>32</v>
      </c>
      <c r="E21" s="7">
        <v>36719</v>
      </c>
    </row>
    <row r="22" spans="1:5" ht="36" customHeight="1" x14ac:dyDescent="0.25">
      <c r="A22" s="14" t="s">
        <v>184</v>
      </c>
      <c r="B22" s="15"/>
      <c r="C22" s="7"/>
      <c r="D22" s="7" t="s">
        <v>32</v>
      </c>
      <c r="E22" s="7">
        <v>23553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60272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74701</v>
      </c>
    </row>
    <row r="4" spans="1:5" ht="32.1" customHeight="1" x14ac:dyDescent="0.25">
      <c r="A4" s="16" t="s">
        <v>185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186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174</v>
      </c>
    </row>
    <row r="8" spans="1:5" ht="20.100000000000001" customHeight="1" x14ac:dyDescent="0.25">
      <c r="A8" s="1" t="s">
        <v>10</v>
      </c>
      <c r="E8" s="2" t="s">
        <v>175</v>
      </c>
    </row>
    <row r="9" spans="1:5" ht="20.100000000000001" customHeight="1" x14ac:dyDescent="0.25">
      <c r="A9" s="1" t="s">
        <v>12</v>
      </c>
      <c r="E9" s="2" t="s">
        <v>187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188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189</v>
      </c>
      <c r="B21" s="15"/>
      <c r="C21" s="7"/>
      <c r="D21" s="7" t="s">
        <v>32</v>
      </c>
      <c r="E21" s="7">
        <v>54284</v>
      </c>
    </row>
    <row r="22" spans="1:5" ht="36" customHeight="1" x14ac:dyDescent="0.25">
      <c r="A22" s="14" t="s">
        <v>190</v>
      </c>
      <c r="B22" s="15"/>
      <c r="C22" s="7"/>
      <c r="D22" s="7" t="s">
        <v>32</v>
      </c>
      <c r="E22" s="7">
        <v>20417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74701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11904</v>
      </c>
    </row>
    <row r="4" spans="1:5" ht="32.1" customHeight="1" x14ac:dyDescent="0.25">
      <c r="A4" s="16" t="s">
        <v>191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192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193</v>
      </c>
    </row>
    <row r="8" spans="1:5" ht="20.100000000000001" customHeight="1" x14ac:dyDescent="0.25">
      <c r="A8" s="1" t="s">
        <v>10</v>
      </c>
      <c r="E8" s="2" t="s">
        <v>194</v>
      </c>
    </row>
    <row r="9" spans="1:5" ht="20.100000000000001" customHeight="1" x14ac:dyDescent="0.25">
      <c r="A9" s="1" t="s">
        <v>12</v>
      </c>
      <c r="E9" s="2" t="s">
        <v>195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196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197</v>
      </c>
      <c r="B21" s="15"/>
      <c r="C21" s="7"/>
      <c r="D21" s="7" t="s">
        <v>32</v>
      </c>
      <c r="E21" s="7">
        <v>11904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11904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85102</v>
      </c>
    </row>
    <row r="4" spans="1:5" ht="32.1" customHeight="1" x14ac:dyDescent="0.25">
      <c r="A4" s="16" t="s">
        <v>198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199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174</v>
      </c>
    </row>
    <row r="8" spans="1:5" ht="20.100000000000001" customHeight="1" x14ac:dyDescent="0.25">
      <c r="A8" s="1" t="s">
        <v>10</v>
      </c>
      <c r="E8" s="2" t="s">
        <v>175</v>
      </c>
    </row>
    <row r="9" spans="1:5" ht="20.100000000000001" customHeight="1" x14ac:dyDescent="0.25">
      <c r="A9" s="1" t="s">
        <v>12</v>
      </c>
      <c r="E9" s="2" t="s">
        <v>200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201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202</v>
      </c>
      <c r="B21" s="15"/>
      <c r="C21" s="7"/>
      <c r="D21" s="7" t="s">
        <v>32</v>
      </c>
      <c r="E21" s="7">
        <v>78483</v>
      </c>
    </row>
    <row r="22" spans="1:5" ht="36" customHeight="1" x14ac:dyDescent="0.25">
      <c r="A22" s="14" t="s">
        <v>203</v>
      </c>
      <c r="B22" s="15"/>
      <c r="C22" s="7"/>
      <c r="D22" s="7" t="s">
        <v>32</v>
      </c>
      <c r="E22" s="7">
        <v>1063</v>
      </c>
    </row>
    <row r="23" spans="1:5" ht="36" customHeight="1" x14ac:dyDescent="0.25">
      <c r="A23" s="14" t="s">
        <v>204</v>
      </c>
      <c r="B23" s="15"/>
      <c r="C23" s="7"/>
      <c r="D23" s="7" t="s">
        <v>32</v>
      </c>
      <c r="E23" s="7">
        <v>5556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85102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80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7489</v>
      </c>
    </row>
    <row r="4" spans="1:5" ht="32.1" customHeight="1" x14ac:dyDescent="0.25">
      <c r="A4" s="16" t="s">
        <v>205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206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207</v>
      </c>
    </row>
    <row r="8" spans="1:5" ht="20.100000000000001" customHeight="1" x14ac:dyDescent="0.25">
      <c r="A8" s="1" t="s">
        <v>10</v>
      </c>
      <c r="E8" s="2" t="s">
        <v>208</v>
      </c>
    </row>
    <row r="9" spans="1:5" ht="20.100000000000001" customHeight="1" x14ac:dyDescent="0.25">
      <c r="A9" s="1" t="s">
        <v>12</v>
      </c>
      <c r="E9" s="2" t="s">
        <v>209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210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211</v>
      </c>
      <c r="B21" s="15"/>
      <c r="C21" s="7"/>
      <c r="D21" s="7" t="s">
        <v>32</v>
      </c>
      <c r="E21" s="7">
        <v>7489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7489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Taniya 56</vt:lpstr>
      <vt:lpstr>Taniya 64</vt:lpstr>
      <vt:lpstr>Techno 62</vt:lpstr>
      <vt:lpstr>Technoid 19</vt:lpstr>
      <vt:lpstr>Uma 23</vt:lpstr>
      <vt:lpstr>Vikas 01</vt:lpstr>
      <vt:lpstr>Vikas 02</vt:lpstr>
      <vt:lpstr>Vikas 05</vt:lpstr>
      <vt:lpstr>Vikas 09</vt:lpstr>
      <vt:lpstr>Vikas 101</vt:lpstr>
      <vt:lpstr>Vikas 102</vt:lpstr>
      <vt:lpstr>Vikas 11</vt:lpstr>
      <vt:lpstr>Vikas 113</vt:lpstr>
      <vt:lpstr>Vikas 115</vt:lpstr>
      <vt:lpstr>Vikas 17</vt:lpstr>
      <vt:lpstr>Vikas 20</vt:lpstr>
      <vt:lpstr>Vikas 21</vt:lpstr>
      <vt:lpstr>Vikas 211</vt:lpstr>
      <vt:lpstr>Vikas 24</vt:lpstr>
      <vt:lpstr>Vikas 31</vt:lpstr>
      <vt:lpstr>Vikas 32</vt:lpstr>
      <vt:lpstr>Vikas 33</vt:lpstr>
      <vt:lpstr>Vikas 34</vt:lpstr>
      <vt:lpstr>Vikas 341</vt:lpstr>
      <vt:lpstr>Vikas 35</vt:lpstr>
      <vt:lpstr>'Taniya 56'!Print_Area</vt:lpstr>
      <vt:lpstr>'Taniya 64'!Print_Area</vt:lpstr>
      <vt:lpstr>'Techno 62'!Print_Area</vt:lpstr>
      <vt:lpstr>'Technoid 19'!Print_Area</vt:lpstr>
      <vt:lpstr>'Uma 23'!Print_Area</vt:lpstr>
      <vt:lpstr>'Vikas 01'!Print_Area</vt:lpstr>
      <vt:lpstr>'Vikas 02'!Print_Area</vt:lpstr>
      <vt:lpstr>'Vikas 05'!Print_Area</vt:lpstr>
      <vt:lpstr>'Vikas 09'!Print_Area</vt:lpstr>
      <vt:lpstr>'Vikas 101'!Print_Area</vt:lpstr>
      <vt:lpstr>'Vikas 102'!Print_Area</vt:lpstr>
      <vt:lpstr>'Vikas 11'!Print_Area</vt:lpstr>
      <vt:lpstr>'Vikas 113'!Print_Area</vt:lpstr>
      <vt:lpstr>'Vikas 115'!Print_Area</vt:lpstr>
      <vt:lpstr>'Vikas 17'!Print_Area</vt:lpstr>
      <vt:lpstr>'Vikas 20'!Print_Area</vt:lpstr>
      <vt:lpstr>'Vikas 21'!Print_Area</vt:lpstr>
      <vt:lpstr>'Vikas 211'!Print_Area</vt:lpstr>
      <vt:lpstr>'Vikas 24'!Print_Area</vt:lpstr>
      <vt:lpstr>'Vikas 31'!Print_Area</vt:lpstr>
      <vt:lpstr>'Vikas 32'!Print_Area</vt:lpstr>
      <vt:lpstr>'Vikas 33'!Print_Area</vt:lpstr>
      <vt:lpstr>'Vikas 34'!Print_Area</vt:lpstr>
      <vt:lpstr>'Vikas 341'!Print_Area</vt:lpstr>
      <vt:lpstr>'Vikas 35'!Print_Area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2025-09-05T11:16:41Z</dcterms:created>
  <dcterms:modified xsi:type="dcterms:W3CDTF">2025-10-09T10:06:10Z</dcterms:modified>
</cp:coreProperties>
</file>