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jkumar\PWD-Tools-Security_Deposit\"/>
    </mc:Choice>
  </mc:AlternateContent>
  <bookViews>
    <workbookView minimized="1" xWindow="0" yWindow="0" windowWidth="28800" windowHeight="12315"/>
  </bookViews>
  <sheets>
    <sheet name="Summary" sheetId="1" r:id="rId1"/>
    <sheet name="Abhinav Enginee Ef in 2 N" sheetId="2" r:id="rId2"/>
    <sheet name="Abhinav Enginee Ef in ASJ" sheetId="3" r:id="rId3"/>
    <sheet name="Abhinav Enginee Ef in new" sheetId="4" r:id="rId4"/>
    <sheet name="Abhinav Enginee PWD-21-Mts" sheetId="5" r:id="rId5"/>
    <sheet name="Abhinav Enginee Various Wo" sheetId="6" r:id="rId6"/>
    <sheet name="Arun Electrical Cableing w" sheetId="7" r:id="rId7"/>
    <sheet name="Arun Electrical Ef in 200" sheetId="8" r:id="rId8"/>
    <sheet name="Arun Electrical Ef in Cou" sheetId="9" r:id="rId9"/>
    <sheet name="Arun Electrical Ef in Fam" sheetId="10" r:id="rId10"/>
    <sheet name="Arun Electrical Ef in Gen" sheetId="11" r:id="rId11"/>
    <sheet name="Arun Electrical Ef in Mod" sheetId="12" r:id="rId12"/>
    <sheet name="Arun Electrical Ef in Mod_1" sheetId="13" r:id="rId13"/>
    <sheet name="Arun Electrical Ef in Mod_2" sheetId="14" r:id="rId14"/>
    <sheet name="Arun Electrical Ef in Sub" sheetId="15" r:id="rId15"/>
    <sheet name="Arun Electrical Ef in Sub_1" sheetId="16" r:id="rId16"/>
    <sheet name="Arun Electrical Ef in Vet" sheetId="17" r:id="rId17"/>
    <sheet name="Arun Electrical EF Work a" sheetId="18" r:id="rId18"/>
    <sheet name="Arun Electrical EF work i" sheetId="19" r:id="rId19"/>
    <sheet name="Arun Electrical Ef work i1" sheetId="20" r:id="rId20"/>
    <sheet name="Arun Electrical Electric R" sheetId="21" r:id="rId21"/>
    <sheet name="Arun Electrical Street lig" sheetId="22" r:id="rId22"/>
    <sheet name="Arun Electrical Various Wo" sheetId="23" r:id="rId23"/>
    <sheet name="Ashapura Electr Ef in Vat" sheetId="24" r:id="rId24"/>
    <sheet name="Balaji Refrigea Ef work i" sheetId="25" r:id="rId25"/>
    <sheet name="G L ELECTRIC WO Ef in DIG" sheetId="26" r:id="rId26"/>
    <sheet name="G L ELECTRIC WO PWD-21-Mts" sheetId="27" r:id="rId27"/>
    <sheet name="Gupta Redio and Ef in Cou" sheetId="28" r:id="rId28"/>
    <sheet name="Gupta Redio and Ef in Cou_1" sheetId="29" r:id="rId29"/>
    <sheet name="Gupta Redio and Ef in Ekl" sheetId="30" r:id="rId30"/>
    <sheet name="Gupta Redio and Ef in Mod" sheetId="31" r:id="rId31"/>
    <sheet name="Gupta Redio and EF work i" sheetId="32" r:id="rId32"/>
    <sheet name="H M Engineers Ef and Re" sheetId="33" r:id="rId33"/>
    <sheet name="H M Engineers Ef in Aud" sheetId="34" r:id="rId34"/>
    <sheet name="H M Engineers Ef in Cou" sheetId="35" r:id="rId35"/>
    <sheet name="H M Engineers Ef in Cou_1" sheetId="36" r:id="rId36"/>
    <sheet name="H M Engineers Removing" sheetId="37" r:id="rId37"/>
    <sheet name="Kartik Traders Ef in Vid" sheetId="38" r:id="rId38"/>
    <sheet name="Kataria Electri Ef in V a" sheetId="39" r:id="rId39"/>
    <sheet name="Kataria Electri EF work v" sheetId="40" r:id="rId40"/>
    <sheet name="KHATRI ELECTRIC EW in New" sheetId="41" r:id="rId41"/>
    <sheet name="KHATRI ELECTRIC Electric w" sheetId="42" r:id="rId42"/>
    <sheet name="Krim Engineerin Ef in APP" sheetId="43" r:id="rId43"/>
    <sheet name="Krim Engineerin Ef in I a" sheetId="44" r:id="rId44"/>
    <sheet name="Krim Engineerin Ef in III" sheetId="45" r:id="rId45"/>
    <sheet name="Krim Engineerin Ef in Res" sheetId="46" r:id="rId46"/>
    <sheet name="Krim Engineerin Various Wo" sheetId="47" r:id="rId47"/>
    <sheet name="MANDORE FIRE SA AMC of Fir" sheetId="48" r:id="rId48"/>
    <sheet name="Maruji Traders Ef in Mod" sheetId="49" r:id="rId49"/>
    <sheet name="Maruji Traders Ef in New" sheetId="50" r:id="rId50"/>
    <sheet name="Maruji Traders Ef in New_1" sheetId="51" r:id="rId51"/>
    <sheet name="Maruji Traders Ef JSI Wa" sheetId="52" r:id="rId52"/>
    <sheet name="Metro Internati Various Wo" sheetId="53" r:id="rId53"/>
    <sheet name="Mitul Enterpris Ef in I a" sheetId="54" r:id="rId54"/>
    <sheet name="Mitul Enterpris Ef in New" sheetId="55" r:id="rId55"/>
    <sheet name="Mitul Enterpris Ef in Van" sheetId="56" r:id="rId56"/>
    <sheet name="Mitul Enterpris EF of II" sheetId="57" r:id="rId57"/>
    <sheet name="Mitul Enterpris EF of Res" sheetId="58" r:id="rId58"/>
    <sheet name="Mitul Enterpris PWD-21-Mts" sheetId="59" r:id="rId59"/>
    <sheet name="Mitul Enterpris Various Wo" sheetId="60" r:id="rId60"/>
    <sheet name="MLR Traders Ef in New" sheetId="61" r:id="rId61"/>
    <sheet name="NARESH ELECTRIC Ef in New" sheetId="62" r:id="rId62"/>
    <sheet name="National Electr Replacemen" sheetId="63" r:id="rId63"/>
    <sheet name="Navyug Engineer EF work i" sheetId="64" r:id="rId64"/>
    <sheet name="Neha Electric Various Wo" sheetId="65" r:id="rId65"/>
    <sheet name="New Choudhary E Ef in Raj" sheetId="66" r:id="rId66"/>
    <sheet name="Nutan Electrica Various Wo" sheetId="67" r:id="rId67"/>
    <sheet name="Omega Elevators Electric w" sheetId="68" r:id="rId68"/>
    <sheet name="R S Enterprises Electrific" sheetId="69" r:id="rId69"/>
    <sheet name="Rajputana Elect Ef in Lec" sheetId="70" r:id="rId70"/>
    <sheet name="Riddhi siddhi E Ef work i" sheetId="71" r:id="rId71"/>
    <sheet name="Riddhi siddhi E Electrific" sheetId="72" r:id="rId72"/>
    <sheet name="Riddhi siddhi E Street lig" sheetId="73" r:id="rId73"/>
    <sheet name="Satguru Electri Ef in Cou" sheetId="74" r:id="rId74"/>
    <sheet name="Satguru Electri Ef in Sub" sheetId="75" r:id="rId75"/>
    <sheet name="Satguru Electri Ef In VVP" sheetId="76" r:id="rId76"/>
    <sheet name="Satguru Electri Various Wo" sheetId="77" r:id="rId77"/>
    <sheet name="Seema Electrica Ef in 2 N" sheetId="78" r:id="rId78"/>
    <sheet name="Seema Electrica Ef in 3rd" sheetId="79" r:id="rId79"/>
    <sheet name="Seema Electrica Ef in Ist" sheetId="80" r:id="rId80"/>
    <sheet name="Seema Electrica Ef in Lab" sheetId="81" r:id="rId81"/>
    <sheet name="Seema Electrica Various Wo" sheetId="82" r:id="rId82"/>
    <sheet name="Sheetal Refrige EW in New" sheetId="83" r:id="rId83"/>
    <sheet name="Sheetal Refrige Electric w" sheetId="84" r:id="rId84"/>
    <sheet name="Shiv Electrical Ef in Sub" sheetId="85" r:id="rId85"/>
    <sheet name="Shiv Electrical Ef in Sub_1" sheetId="86" r:id="rId86"/>
    <sheet name="Shreeji Enterpr Ef in Raj" sheetId="87" r:id="rId87"/>
    <sheet name="Shubham Electri Ef in Lec" sheetId="88" r:id="rId88"/>
    <sheet name="Shubham Electri Ef in New" sheetId="89" r:id="rId89"/>
    <sheet name="Smart Traffic S Am of Tra" sheetId="90" r:id="rId90"/>
    <sheet name="Varsha Enterpri Ef in Cou" sheetId="91" r:id="rId91"/>
    <sheet name="Varsha Enterpri Ef in Cou_1" sheetId="92" r:id="rId92"/>
    <sheet name="Varsha Enterpri Ef in Dis" sheetId="93" r:id="rId93"/>
    <sheet name="Varsha Enterpri Ef in PHE" sheetId="94" r:id="rId94"/>
    <sheet name="Varsha Enterpri SITC of Va" sheetId="95" r:id="rId95"/>
    <sheet name="Vikas Enterpris Cabling an" sheetId="96" r:id="rId96"/>
    <sheet name="Vikas Enterpris Ef in 50" sheetId="97" r:id="rId97"/>
    <sheet name="Vikas Enterpris Ef in Com" sheetId="98" r:id="rId98"/>
    <sheet name="Vikas Enterpris Ef in Hig" sheetId="99" r:id="rId99"/>
    <sheet name="Vikas Enterpris Ef in III" sheetId="100" r:id="rId100"/>
    <sheet name="Vikas Enterpris Ef in SDO" sheetId="101" r:id="rId101"/>
    <sheet name="Vikas Enterpris Ef in Teh" sheetId="102" r:id="rId102"/>
    <sheet name="Vikas Enterpris Ef in V a" sheetId="103" r:id="rId103"/>
    <sheet name="Vikas Enterpris Elect Rep" sheetId="104" r:id="rId104"/>
    <sheet name="Vikas Enterpris Electric A" sheetId="105" r:id="rId105"/>
    <sheet name="Vikas Enterpris Electric c" sheetId="106" r:id="rId106"/>
    <sheet name="Vikas Enterpris Jan Swasth" sheetId="107" r:id="rId107"/>
    <sheet name="Vikas Enterpris Various Wo" sheetId="108" r:id="rId108"/>
    <sheet name="Vikram Enterpri Earthing r" sheetId="109" r:id="rId109"/>
    <sheet name="Vikram Enterpri SITC of DG" sheetId="110" r:id="rId110"/>
    <sheet name="Vimal Electrica Ef in 55" sheetId="111" r:id="rId111"/>
  </sheets>
  <calcPr calcId="152511"/>
</workbook>
</file>

<file path=xl/calcChain.xml><?xml version="1.0" encoding="utf-8"?>
<calcChain xmlns="http://schemas.openxmlformats.org/spreadsheetml/2006/main">
  <c r="D23" i="111" l="1"/>
  <c r="D23" i="110"/>
  <c r="D23" i="109"/>
  <c r="D23" i="108"/>
  <c r="D24" i="107"/>
  <c r="D23" i="106"/>
  <c r="D23" i="105"/>
  <c r="D23" i="104"/>
  <c r="D23" i="103"/>
  <c r="D23" i="102"/>
  <c r="D23" i="101"/>
  <c r="D24" i="100"/>
  <c r="D23" i="99"/>
  <c r="D23" i="98"/>
  <c r="D23" i="97"/>
  <c r="D23" i="96"/>
  <c r="D24" i="95"/>
  <c r="D23" i="94"/>
  <c r="D24" i="93"/>
  <c r="D23" i="92"/>
  <c r="D23" i="91"/>
  <c r="D23" i="90"/>
  <c r="D23" i="89"/>
  <c r="D23" i="88"/>
  <c r="D23" i="87"/>
  <c r="D23" i="86"/>
  <c r="D23" i="85"/>
  <c r="D24" i="84"/>
  <c r="D23" i="83"/>
  <c r="D23" i="82"/>
  <c r="D23" i="81"/>
  <c r="D23" i="80"/>
  <c r="D23" i="79"/>
  <c r="D23" i="78"/>
  <c r="D23" i="77"/>
  <c r="D23" i="76"/>
  <c r="D23" i="75"/>
  <c r="D23" i="74"/>
  <c r="D23" i="73"/>
  <c r="D23" i="72"/>
  <c r="D23" i="71"/>
  <c r="D23" i="70"/>
  <c r="D24" i="69"/>
  <c r="D23" i="68"/>
  <c r="D23" i="67"/>
  <c r="D23" i="66"/>
  <c r="D23" i="65"/>
  <c r="D23" i="64"/>
  <c r="D23" i="63"/>
  <c r="D23" i="62"/>
  <c r="D23" i="61"/>
  <c r="D24" i="60"/>
  <c r="D23" i="59"/>
  <c r="D23" i="58"/>
  <c r="D23" i="57"/>
  <c r="D23" i="56"/>
  <c r="D23" i="55"/>
  <c r="D23" i="54"/>
  <c r="D23" i="53"/>
  <c r="D23" i="52"/>
  <c r="D23" i="51"/>
  <c r="D23" i="50"/>
  <c r="D23" i="49"/>
  <c r="D23" i="48"/>
  <c r="D23" i="47"/>
  <c r="D23" i="46"/>
  <c r="D23" i="45"/>
  <c r="D23" i="44"/>
  <c r="D23" i="43"/>
  <c r="D24" i="42"/>
  <c r="D23" i="41"/>
  <c r="D23" i="40"/>
  <c r="D23" i="39"/>
  <c r="D23" i="38"/>
  <c r="D23" i="37"/>
  <c r="D23" i="36"/>
  <c r="D23" i="35"/>
  <c r="D23" i="34"/>
  <c r="D24" i="33"/>
  <c r="D23" i="32"/>
  <c r="D23" i="31"/>
  <c r="D23" i="30"/>
  <c r="D23" i="29"/>
  <c r="D23" i="28"/>
  <c r="D23" i="27"/>
  <c r="D23" i="26"/>
  <c r="D24" i="25"/>
  <c r="D23" i="24"/>
  <c r="D24" i="23"/>
  <c r="D23" i="22"/>
  <c r="D23" i="21"/>
  <c r="D24" i="20"/>
  <c r="D23" i="19"/>
  <c r="D23" i="18"/>
  <c r="D23" i="17"/>
  <c r="D23" i="16"/>
  <c r="D23" i="15"/>
  <c r="D23" i="14"/>
  <c r="D23" i="13"/>
  <c r="D24" i="12"/>
  <c r="D23" i="11"/>
  <c r="D23" i="10"/>
  <c r="D24" i="9"/>
  <c r="D23" i="8"/>
  <c r="D23" i="7"/>
  <c r="D23" i="6"/>
  <c r="D23" i="5"/>
  <c r="D23" i="4"/>
  <c r="D23" i="3"/>
  <c r="D23" i="2"/>
  <c r="F112" i="1"/>
  <c r="E112" i="1"/>
  <c r="D112" i="1"/>
  <c r="C112" i="1"/>
</calcChain>
</file>

<file path=xl/sharedStrings.xml><?xml version="1.0" encoding="utf-8"?>
<sst xmlns="http://schemas.openxmlformats.org/spreadsheetml/2006/main" count="3885" uniqueCount="160">
  <si>
    <t>Vendor</t>
  </si>
  <si>
    <t>Work Name</t>
  </si>
  <si>
    <t>SD Amount (₹)</t>
  </si>
  <si>
    <t>MDV Amount (₹)</t>
  </si>
  <si>
    <t>Total (₹)</t>
  </si>
  <si>
    <t>Entries</t>
  </si>
  <si>
    <t>Abhinav Engineering and Suppliers</t>
  </si>
  <si>
    <t>E/f in 2 No Toilet block Court Builidng Gogunda</t>
  </si>
  <si>
    <t>E/f in ASJ (WAC)Court at Session court Campus Udaipur</t>
  </si>
  <si>
    <t>E/f in newly Construction 2 No Court Building (JM and ACJM ) in Court Premises Kherwara</t>
  </si>
  <si>
    <t>PWD-21-Mts</t>
  </si>
  <si>
    <t>Various Works</t>
  </si>
  <si>
    <t>Arun Electricals</t>
  </si>
  <si>
    <t>Cableing work and Mains work for DR machine at Troma Center MBGH Udaipur</t>
  </si>
  <si>
    <t>E/f in 200 Baded Girls Hostel MG College Udaipur</t>
  </si>
  <si>
    <t>E/f in Court Build Kumbalgarh</t>
  </si>
  <si>
    <t>E/f in Family Court Rajsamand</t>
  </si>
  <si>
    <t>E/f in General Parking with all facility on NH 8 to Ganesh Tekri Nathdwara Road Parking (I and II) Distt Rajsamand</t>
  </si>
  <si>
    <t>E/f in Model Residential School dheekli Udaipur</t>
  </si>
  <si>
    <t>E/f in Model School Amet</t>
  </si>
  <si>
    <t>E/f in Model School Bhim</t>
  </si>
  <si>
    <t>E/f in Sub Tehsil Building Naya Gaun Job 153/4059</t>
  </si>
  <si>
    <t>E/f in Sub Tehsil Building Sayra Job 152/4059</t>
  </si>
  <si>
    <t>E/f in Vetnary Hospital Jhadol Sarada Udaipur</t>
  </si>
  <si>
    <t>E/F Work at Tehsil Office Lasadiya Job No 21/4059/LR/P</t>
  </si>
  <si>
    <t>E/F work in court complex 4th floor at Sesssion court campus Udaipur</t>
  </si>
  <si>
    <t>E/f work in Govt self Depended Temple of Shri Rishabdev ji at Rishabdev Distt Udaipur</t>
  </si>
  <si>
    <t>Electric Related work in Toilet block &amp; Public fiber Shade at RTO Office Udaipur</t>
  </si>
  <si>
    <t>Street lighting work in Urban Gaurav path from Kamli ghat to Deogarh Rajsamand</t>
  </si>
  <si>
    <t>Ashapura Electric</t>
  </si>
  <si>
    <t>E/f in Vatnaey Hospital Semari</t>
  </si>
  <si>
    <t>Balaji Refrigeation and Electricals</t>
  </si>
  <si>
    <t>E/f work in Autopsy Canter at RNT Medical College Udaipur</t>
  </si>
  <si>
    <t>G L ELECTRIC WORKS</t>
  </si>
  <si>
    <t>E/f in DIG Stamp and registration Office Building Udaipur</t>
  </si>
  <si>
    <t>Gupta Redio and Electricals</t>
  </si>
  <si>
    <t>E/f in Court Complex at Session Court Campus Udaipur</t>
  </si>
  <si>
    <t>E/f in Court Complex at Session court Udaipur</t>
  </si>
  <si>
    <t>E/f in Eklavya Model Residential School at Gogunda Udaipur</t>
  </si>
  <si>
    <t>E/f in Model School kumbalgarh</t>
  </si>
  <si>
    <t>H M Engineers</t>
  </si>
  <si>
    <t>E/f and Rewiring work in Ext Part of Mines and Geology office Goverdhan Villas Udaipur</t>
  </si>
  <si>
    <t>E/f in Auditorium and Exam Hall RNT Medical College Udaipur</t>
  </si>
  <si>
    <t>Removing &amp; Relaying of MS Fire pipe line at Pannadhay Govt woman Hospital Udaipur</t>
  </si>
  <si>
    <t>Kartik Traders</t>
  </si>
  <si>
    <t>E/f in Vidhya Niketan School Ogna Jhadol</t>
  </si>
  <si>
    <t>Kataria Electricals</t>
  </si>
  <si>
    <t>E/f in V and VI qtr Udaipur</t>
  </si>
  <si>
    <t>E/F work various work at Ayurvedic Rasayan Shalla Udaipur</t>
  </si>
  <si>
    <t>KHATRI ELECTRIC SERVICE</t>
  </si>
  <si>
    <t>E/W in New Buldg of Sales Tax Deptt Udaipur</t>
  </si>
  <si>
    <t>Electric work in New Bldg.of Sale Tax Deptt. at Udaipur</t>
  </si>
  <si>
    <t>Krim Engineering</t>
  </si>
  <si>
    <t>E/f in APP Office Bhim Distt Rajsamand</t>
  </si>
  <si>
    <t>E/f in I and II qtr Udaipur</t>
  </si>
  <si>
    <t>E/f in III and IV qtr Udaipur</t>
  </si>
  <si>
    <t>E/f in Resi. qtr for Gram Adhikari Nayalaya Kherwara</t>
  </si>
  <si>
    <t>MANDORE FIRE SAFETY CENTRE</t>
  </si>
  <si>
    <t>AMC of Fire Fighting work at MBGH and RNT Medical College Udaipur</t>
  </si>
  <si>
    <t>Maruji Traders</t>
  </si>
  <si>
    <t>E/f in Model School Kotra</t>
  </si>
  <si>
    <t>E/f in Newly CJ (JD) and JM court sarada Udaipur</t>
  </si>
  <si>
    <t>E/f in Newly CJ(JD) and JM Court Build. Sarada Distt Udaipur</t>
  </si>
  <si>
    <t>E/f JSI Ward PHC Sarada</t>
  </si>
  <si>
    <t>Metro International</t>
  </si>
  <si>
    <t>Mitul Enterprises</t>
  </si>
  <si>
    <t>E/f in Newly Const Administrative Block Police Thana Tidi Udaipur</t>
  </si>
  <si>
    <t>E/f in Van Bandhu Yujna Various School Udaipur</t>
  </si>
  <si>
    <t>E/F of II type Residential Qtr CJ&amp;JM Bhinder</t>
  </si>
  <si>
    <t>E/F of Residential II type Qtr CJ&amp;JM Bhinder</t>
  </si>
  <si>
    <t>MLR Traders</t>
  </si>
  <si>
    <t>E/f in Newly constructed Non Clinical Labs at II Floor RNT Medical College Udaipur</t>
  </si>
  <si>
    <t>NARESH ELECTRICALS</t>
  </si>
  <si>
    <t>E/f in New Outdoor Block with ward at Ayurvaid resurch Center Udaipur</t>
  </si>
  <si>
    <t>National Electric Stores</t>
  </si>
  <si>
    <t>Replacement of Change Over of 630 amp at Sub Station Near Kalpana MBGH Udaipur</t>
  </si>
  <si>
    <t>Navyug Engineering</t>
  </si>
  <si>
    <t>Neha Electric</t>
  </si>
  <si>
    <t>New Choudhary Enterprises</t>
  </si>
  <si>
    <t>E/f in Rajasthan Sahitya Academy Udaipur</t>
  </si>
  <si>
    <t>Nutan Electricals</t>
  </si>
  <si>
    <t>Omega Elevators</t>
  </si>
  <si>
    <t>R S Enterprises</t>
  </si>
  <si>
    <t>Electrification work in Nursing Quarters (44Nos) 3rd type at RNT Medical College Udaipur</t>
  </si>
  <si>
    <t>Rajputana Electric Trading Corporation</t>
  </si>
  <si>
    <t>E/f in Lecture Theater RNT Medical College Udaipur</t>
  </si>
  <si>
    <t>Riddhi siddhi Enterprises</t>
  </si>
  <si>
    <t>E/f work in New OPD Block and Diagnostic wing at RNT Medical College Udaipur</t>
  </si>
  <si>
    <t>Electrification work in New OPD Block and Diagnostic wing at RNT Medical college, Udaipur</t>
  </si>
  <si>
    <t>Street light and pole work for Gaurav path Municipal Area Bhinder Udaipur</t>
  </si>
  <si>
    <t>Satguru Electricals</t>
  </si>
  <si>
    <t>E/f in Court Build Bhim Distt Rajsamand</t>
  </si>
  <si>
    <t>E/f in Sub Registrar office Nathdwara</t>
  </si>
  <si>
    <t>E/f In VVPAT Unit at Rajsamand</t>
  </si>
  <si>
    <t>Seema Electricals</t>
  </si>
  <si>
    <t>E/f in 2 No Class room in PTS Kherwara</t>
  </si>
  <si>
    <t>E/f in 3rd Floor and Porch at Excise Office Building Udaipur</t>
  </si>
  <si>
    <t>E/f in Ist Type Resi Qtr ADJ Court Kherwara Distt. Udaipur</t>
  </si>
  <si>
    <t>E/f in Lab , Class , and Toilet Block Govt sath Mathura Das Binani Govt College Nathdwara</t>
  </si>
  <si>
    <t>Sheetal Refrigeration and Electricals</t>
  </si>
  <si>
    <t>Shiv Electricals</t>
  </si>
  <si>
    <t>E/f in Sub Tehsil Building Delwara Job 65/4059</t>
  </si>
  <si>
    <t>E/f in Sub Tehsil Building Gilund Job 66/4059</t>
  </si>
  <si>
    <t>Shreeji Enterprises</t>
  </si>
  <si>
    <t>Shubham Electricals and Maintenance</t>
  </si>
  <si>
    <t>E/f in New Junior girls Hostel RNT Medical College Udaipur</t>
  </si>
  <si>
    <t>Smart Traffic Systems Pvt Ltd</t>
  </si>
  <si>
    <t>A/m of Traffic light Various Crossing Udaipur</t>
  </si>
  <si>
    <t>Varsha Enterprises</t>
  </si>
  <si>
    <t>E/f in Distt Revenue Land Record Building Rajsamand</t>
  </si>
  <si>
    <t>E/f in PHED Lab Udaipur</t>
  </si>
  <si>
    <t>SITC of Various Equipment work in Nari Niketan Building Chitrakoot Nager Udaipur</t>
  </si>
  <si>
    <t>Vikas Enterprises</t>
  </si>
  <si>
    <t>Cabling and mains Work for 2 Nos DRDO oxygen plants near dhobi Ghat MBGH Udaipur</t>
  </si>
  <si>
    <t>E/f in 50 Beded Kathodi Balika TAD Ashram Hostel at Ogna Udaipur</t>
  </si>
  <si>
    <t>E/f in Community Hall Rajasthan Adiwasi Mahasbha Udaipur</t>
  </si>
  <si>
    <t>E/f in High Security Ward at Central Jail Udaipur</t>
  </si>
  <si>
    <t>E/f in SDO Qtr Kumbalgarh Rajsamand</t>
  </si>
  <si>
    <t>E/f in Tehsildar Residence Lasadiya Udaipur</t>
  </si>
  <si>
    <t>Elect Rep and Mtc work in Office of Mechanical Engg. (work shop) Mines and Geology Deptt Udaipur</t>
  </si>
  <si>
    <t>Electric Alteration and addition work for New Oxygen generating system plant near Swin Flu ward Building MB Hospital Udaipur</t>
  </si>
  <si>
    <t>Electric connetion for X-Ray Machine in Dispensary at Centarl Jail Udaipur</t>
  </si>
  <si>
    <t>Jan Swasth Praog Shala Udaipur</t>
  </si>
  <si>
    <t>Vikram Enterprises</t>
  </si>
  <si>
    <t>Earthing related work in TRI Campus at Udaipur</t>
  </si>
  <si>
    <t>SITC of DG Set Multipurpose Hostel Building TRI Campus Udaipur</t>
  </si>
  <si>
    <t>Vimal Electricals</t>
  </si>
  <si>
    <t>E/f in 55 Bathroom at Centarl Jail Udaipur</t>
  </si>
  <si>
    <t>TOTAL:</t>
  </si>
  <si>
    <t>ORDER FOR REFUND OF SECURITY DEPOSIT [RWMF 119]</t>
  </si>
  <si>
    <t>1. Name of Contractor:</t>
  </si>
  <si>
    <t>2. Amount of Deposit: ₹</t>
  </si>
  <si>
    <t>3. Name of Work:</t>
  </si>
  <si>
    <t>4. Agreement No.:</t>
  </si>
  <si>
    <t>Not Available</t>
  </si>
  <si>
    <t>5. Reference for granting refunds:</t>
  </si>
  <si>
    <t>6. Date of Commencement:</t>
  </si>
  <si>
    <t>7. Stipulated date of Completion:</t>
  </si>
  <si>
    <t>8. Actual Date of Completion:</t>
  </si>
  <si>
    <t>9. MB No.:</t>
  </si>
  <si>
    <t>10. Date of Payment of final bill:</t>
  </si>
  <si>
    <t>11. Date of Expiry of 3/6 months/DLP:</t>
  </si>
  <si>
    <t>12. Was work satisfactory:</t>
  </si>
  <si>
    <t>Yes</t>
  </si>
  <si>
    <t>13. Any tools outstanding against contractor:</t>
  </si>
  <si>
    <t>Nil</t>
  </si>
  <si>
    <t>14. Any recovery due from contractor after payment of final bill:</t>
  </si>
  <si>
    <t>15. Extension of time limit sanctioned vide</t>
  </si>
  <si>
    <t>16. Assistant Engineer Signature's Recommending refund</t>
  </si>
  <si>
    <t>17. Accountant's Remarks</t>
  </si>
  <si>
    <t>18. Details of Security Deposit / MDV to be refunded/adjusted</t>
  </si>
  <si>
    <t>Sr. No.</t>
  </si>
  <si>
    <t>Particulars</t>
  </si>
  <si>
    <t>Bill No. &amp; Date</t>
  </si>
  <si>
    <t>Amount (₹)</t>
  </si>
  <si>
    <t>Remarks</t>
  </si>
  <si>
    <t>Security Deposit</t>
  </si>
  <si>
    <t>As per record</t>
  </si>
  <si>
    <t>Total:</t>
  </si>
  <si>
    <t>MDV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</si>
</sst>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6"/>
      <color rgb="FF000080"/>
      <name val="Calibri"/>
    </font>
    <font>
      <i/>
      <sz val="11"/>
      <color rgb="FFFF0000"/>
      <name val="Calibri"/>
    </font>
    <font>
      <b/>
      <sz val="12"/>
      <name val="Calibri"/>
    </font>
    <font>
      <b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6E6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4" fontId="0" fillId="0" borderId="0" xfId="0" applyNumberFormat="1"/>
    <xf numFmtId="0" fontId="1" fillId="0" borderId="0" xfId="0" applyFont="1"/>
    <xf numFmtId="0" fontId="3" fillId="0" borderId="0" xfId="0" applyFont="1"/>
    <xf numFmtId="0" fontId="5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5" fillId="0" borderId="0" xfId="0" applyFont="1"/>
    <xf numFmtId="0" fontId="4" fillId="0" borderId="0" xfId="0" applyFont="1"/>
    <xf numFmtId="0" fontId="0" fillId="0" borderId="0" xfId="0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theme" Target="theme/theme1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styles" Target="styles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calcChain" Target="calcChain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2"/>
  <sheetViews>
    <sheetView tabSelected="1" workbookViewId="0">
      <pane ySplit="1" topLeftCell="A78" activePane="bottomLeft" state="frozen"/>
      <selection pane="bottomLeft" activeCell="C2" sqref="C2:D112"/>
    </sheetView>
  </sheetViews>
  <sheetFormatPr defaultRowHeight="15" x14ac:dyDescent="0.25"/>
  <cols>
    <col min="1" max="2" width="30" customWidth="1"/>
    <col min="3" max="3" width="18" customWidth="1"/>
    <col min="4" max="4" width="19.140625" customWidth="1"/>
    <col min="5" max="6" width="18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s="2">
        <v>24927</v>
      </c>
      <c r="D2" s="2">
        <v>0</v>
      </c>
      <c r="E2" s="2">
        <v>24927</v>
      </c>
      <c r="F2">
        <v>1</v>
      </c>
    </row>
    <row r="3" spans="1:6" x14ac:dyDescent="0.25">
      <c r="A3" t="s">
        <v>6</v>
      </c>
      <c r="B3" t="s">
        <v>8</v>
      </c>
      <c r="C3" s="2">
        <v>0</v>
      </c>
      <c r="D3" s="2">
        <v>6317</v>
      </c>
      <c r="E3" s="2">
        <v>6317</v>
      </c>
      <c r="F3">
        <v>2</v>
      </c>
    </row>
    <row r="4" spans="1:6" x14ac:dyDescent="0.25">
      <c r="A4" t="s">
        <v>6</v>
      </c>
      <c r="B4" t="s">
        <v>9</v>
      </c>
      <c r="C4" s="2">
        <v>36336</v>
      </c>
      <c r="D4" s="2">
        <v>0</v>
      </c>
      <c r="E4" s="2">
        <v>36336</v>
      </c>
      <c r="F4">
        <v>1</v>
      </c>
    </row>
    <row r="5" spans="1:6" x14ac:dyDescent="0.25">
      <c r="A5" t="s">
        <v>6</v>
      </c>
      <c r="B5" t="s">
        <v>10</v>
      </c>
      <c r="C5" s="2">
        <v>2928</v>
      </c>
      <c r="D5" s="2">
        <v>0</v>
      </c>
      <c r="E5" s="2">
        <v>2928</v>
      </c>
      <c r="F5">
        <v>1</v>
      </c>
    </row>
    <row r="6" spans="1:6" x14ac:dyDescent="0.25">
      <c r="A6" t="s">
        <v>6</v>
      </c>
      <c r="B6" t="s">
        <v>11</v>
      </c>
      <c r="C6" s="2">
        <v>4184</v>
      </c>
      <c r="D6" s="2">
        <v>0</v>
      </c>
      <c r="E6" s="2">
        <v>4184</v>
      </c>
      <c r="F6">
        <v>1</v>
      </c>
    </row>
    <row r="7" spans="1:6" x14ac:dyDescent="0.25">
      <c r="A7" t="s">
        <v>12</v>
      </c>
      <c r="B7" t="s">
        <v>13</v>
      </c>
      <c r="C7" s="2">
        <v>0</v>
      </c>
      <c r="D7" s="2">
        <v>1720</v>
      </c>
      <c r="E7" s="2">
        <v>1720</v>
      </c>
      <c r="F7">
        <v>1</v>
      </c>
    </row>
    <row r="8" spans="1:6" x14ac:dyDescent="0.25">
      <c r="A8" t="s">
        <v>12</v>
      </c>
      <c r="B8" t="s">
        <v>14</v>
      </c>
      <c r="C8" s="2">
        <v>44789</v>
      </c>
      <c r="D8" s="2">
        <v>0</v>
      </c>
      <c r="E8" s="2">
        <v>44789</v>
      </c>
      <c r="F8">
        <v>1</v>
      </c>
    </row>
    <row r="9" spans="1:6" x14ac:dyDescent="0.25">
      <c r="A9" t="s">
        <v>12</v>
      </c>
      <c r="B9" t="s">
        <v>15</v>
      </c>
      <c r="C9" s="2">
        <v>7269</v>
      </c>
      <c r="D9" s="2">
        <v>10000</v>
      </c>
      <c r="E9" s="2">
        <v>17269</v>
      </c>
      <c r="F9">
        <v>2</v>
      </c>
    </row>
    <row r="10" spans="1:6" x14ac:dyDescent="0.25">
      <c r="A10" t="s">
        <v>12</v>
      </c>
      <c r="B10" t="s">
        <v>16</v>
      </c>
      <c r="C10" s="2">
        <v>0</v>
      </c>
      <c r="D10" s="2">
        <v>7277</v>
      </c>
      <c r="E10" s="2">
        <v>7277</v>
      </c>
      <c r="F10">
        <v>1</v>
      </c>
    </row>
    <row r="11" spans="1:6" x14ac:dyDescent="0.25">
      <c r="A11" t="s">
        <v>12</v>
      </c>
      <c r="B11" t="s">
        <v>17</v>
      </c>
      <c r="C11" s="2">
        <v>0</v>
      </c>
      <c r="D11" s="2">
        <v>20169</v>
      </c>
      <c r="E11" s="2">
        <v>20169</v>
      </c>
      <c r="F11">
        <v>2</v>
      </c>
    </row>
    <row r="12" spans="1:6" x14ac:dyDescent="0.25">
      <c r="A12" t="s">
        <v>12</v>
      </c>
      <c r="B12" t="s">
        <v>18</v>
      </c>
      <c r="C12" s="2">
        <v>324629</v>
      </c>
      <c r="D12" s="2">
        <v>47726</v>
      </c>
      <c r="E12" s="2">
        <v>372355</v>
      </c>
      <c r="F12">
        <v>6</v>
      </c>
    </row>
    <row r="13" spans="1:6" x14ac:dyDescent="0.25">
      <c r="A13" t="s">
        <v>12</v>
      </c>
      <c r="B13" t="s">
        <v>19</v>
      </c>
      <c r="C13" s="2">
        <v>0</v>
      </c>
      <c r="D13" s="2">
        <v>9787</v>
      </c>
      <c r="E13" s="2">
        <v>9787</v>
      </c>
      <c r="F13">
        <v>1</v>
      </c>
    </row>
    <row r="14" spans="1:6" x14ac:dyDescent="0.25">
      <c r="A14" t="s">
        <v>12</v>
      </c>
      <c r="B14" t="s">
        <v>20</v>
      </c>
      <c r="C14" s="2">
        <v>0</v>
      </c>
      <c r="D14" s="2">
        <v>63582</v>
      </c>
      <c r="E14" s="2">
        <v>63582</v>
      </c>
      <c r="F14">
        <v>1</v>
      </c>
    </row>
    <row r="15" spans="1:6" x14ac:dyDescent="0.25">
      <c r="A15" t="s">
        <v>12</v>
      </c>
      <c r="B15" t="s">
        <v>21</v>
      </c>
      <c r="C15" s="2">
        <v>0</v>
      </c>
      <c r="D15" s="2">
        <v>100000</v>
      </c>
      <c r="E15" s="2">
        <v>100000</v>
      </c>
      <c r="F15">
        <v>1</v>
      </c>
    </row>
    <row r="16" spans="1:6" x14ac:dyDescent="0.25">
      <c r="A16" t="s">
        <v>12</v>
      </c>
      <c r="B16" t="s">
        <v>22</v>
      </c>
      <c r="C16" s="2">
        <v>41543</v>
      </c>
      <c r="D16" s="2">
        <v>0</v>
      </c>
      <c r="E16" s="2">
        <v>41543</v>
      </c>
      <c r="F16">
        <v>1</v>
      </c>
    </row>
    <row r="17" spans="1:6" x14ac:dyDescent="0.25">
      <c r="A17" t="s">
        <v>12</v>
      </c>
      <c r="B17" t="s">
        <v>23</v>
      </c>
      <c r="C17" s="2">
        <v>0</v>
      </c>
      <c r="D17" s="2">
        <v>15000</v>
      </c>
      <c r="E17" s="2">
        <v>15000</v>
      </c>
      <c r="F17">
        <v>1</v>
      </c>
    </row>
    <row r="18" spans="1:6" x14ac:dyDescent="0.25">
      <c r="A18" t="s">
        <v>12</v>
      </c>
      <c r="B18" t="s">
        <v>24</v>
      </c>
      <c r="C18" s="2">
        <v>0</v>
      </c>
      <c r="D18" s="2">
        <v>30000</v>
      </c>
      <c r="E18" s="2">
        <v>30000</v>
      </c>
      <c r="F18">
        <v>1</v>
      </c>
    </row>
    <row r="19" spans="1:6" x14ac:dyDescent="0.25">
      <c r="A19" t="s">
        <v>12</v>
      </c>
      <c r="B19" t="s">
        <v>25</v>
      </c>
      <c r="C19" s="2">
        <v>0</v>
      </c>
      <c r="D19" s="2">
        <v>33710</v>
      </c>
      <c r="E19" s="2">
        <v>33710</v>
      </c>
      <c r="F19">
        <v>4</v>
      </c>
    </row>
    <row r="20" spans="1:6" x14ac:dyDescent="0.25">
      <c r="A20" t="s">
        <v>12</v>
      </c>
      <c r="B20" t="s">
        <v>26</v>
      </c>
      <c r="C20" s="2">
        <v>21413</v>
      </c>
      <c r="D20" s="2">
        <v>10000</v>
      </c>
      <c r="E20" s="2">
        <v>31413</v>
      </c>
      <c r="F20">
        <v>2</v>
      </c>
    </row>
    <row r="21" spans="1:6" x14ac:dyDescent="0.25">
      <c r="A21" t="s">
        <v>12</v>
      </c>
      <c r="B21" t="s">
        <v>27</v>
      </c>
      <c r="C21" s="2">
        <v>5675</v>
      </c>
      <c r="D21" s="2">
        <v>0</v>
      </c>
      <c r="E21" s="2">
        <v>5675</v>
      </c>
      <c r="F21">
        <v>1</v>
      </c>
    </row>
    <row r="22" spans="1:6" x14ac:dyDescent="0.25">
      <c r="A22" t="s">
        <v>12</v>
      </c>
      <c r="B22" t="s">
        <v>28</v>
      </c>
      <c r="C22" s="2">
        <v>0</v>
      </c>
      <c r="D22" s="2">
        <v>10000</v>
      </c>
      <c r="E22" s="2">
        <v>10000</v>
      </c>
      <c r="F22">
        <v>1</v>
      </c>
    </row>
    <row r="23" spans="1:6" x14ac:dyDescent="0.25">
      <c r="A23" t="s">
        <v>12</v>
      </c>
      <c r="B23" t="s">
        <v>11</v>
      </c>
      <c r="C23" s="2">
        <v>172528</v>
      </c>
      <c r="D23" s="2">
        <v>95000</v>
      </c>
      <c r="E23" s="2">
        <v>267528</v>
      </c>
      <c r="F23">
        <v>8</v>
      </c>
    </row>
    <row r="24" spans="1:6" x14ac:dyDescent="0.25">
      <c r="A24" t="s">
        <v>29</v>
      </c>
      <c r="B24" t="s">
        <v>30</v>
      </c>
      <c r="C24" s="2">
        <v>2946</v>
      </c>
      <c r="D24" s="2">
        <v>0</v>
      </c>
      <c r="E24" s="2">
        <v>2946</v>
      </c>
      <c r="F24">
        <v>1</v>
      </c>
    </row>
    <row r="25" spans="1:6" x14ac:dyDescent="0.25">
      <c r="A25" t="s">
        <v>31</v>
      </c>
      <c r="B25" t="s">
        <v>32</v>
      </c>
      <c r="C25" s="2">
        <v>33436</v>
      </c>
      <c r="D25" s="2">
        <v>20000</v>
      </c>
      <c r="E25" s="2">
        <v>53436</v>
      </c>
      <c r="F25">
        <v>3</v>
      </c>
    </row>
    <row r="26" spans="1:6" x14ac:dyDescent="0.25">
      <c r="A26" t="s">
        <v>33</v>
      </c>
      <c r="B26" t="s">
        <v>34</v>
      </c>
      <c r="C26" s="2">
        <v>0</v>
      </c>
      <c r="D26" s="2">
        <v>840</v>
      </c>
      <c r="E26" s="2">
        <v>840</v>
      </c>
      <c r="F26">
        <v>1</v>
      </c>
    </row>
    <row r="27" spans="1:6" x14ac:dyDescent="0.25">
      <c r="A27" t="s">
        <v>33</v>
      </c>
      <c r="B27" t="s">
        <v>10</v>
      </c>
      <c r="C27" s="2">
        <v>0</v>
      </c>
      <c r="D27" s="2">
        <v>3349</v>
      </c>
      <c r="E27" s="2">
        <v>3349</v>
      </c>
      <c r="F27">
        <v>1</v>
      </c>
    </row>
    <row r="28" spans="1:6" x14ac:dyDescent="0.25">
      <c r="A28" t="s">
        <v>35</v>
      </c>
      <c r="B28" t="s">
        <v>36</v>
      </c>
      <c r="C28" s="2">
        <v>0</v>
      </c>
      <c r="D28" s="2">
        <v>10592</v>
      </c>
      <c r="E28" s="2">
        <v>10592</v>
      </c>
      <c r="F28">
        <v>1</v>
      </c>
    </row>
    <row r="29" spans="1:6" x14ac:dyDescent="0.25">
      <c r="A29" t="s">
        <v>35</v>
      </c>
      <c r="B29" t="s">
        <v>37</v>
      </c>
      <c r="C29" s="2">
        <v>0</v>
      </c>
      <c r="D29" s="2">
        <v>31774</v>
      </c>
      <c r="E29" s="2">
        <v>31774</v>
      </c>
      <c r="F29">
        <v>1</v>
      </c>
    </row>
    <row r="30" spans="1:6" x14ac:dyDescent="0.25">
      <c r="A30" t="s">
        <v>35</v>
      </c>
      <c r="B30" t="s">
        <v>38</v>
      </c>
      <c r="C30" s="2">
        <v>0</v>
      </c>
      <c r="D30" s="2">
        <v>20000</v>
      </c>
      <c r="E30" s="2">
        <v>20000</v>
      </c>
      <c r="F30">
        <v>1</v>
      </c>
    </row>
    <row r="31" spans="1:6" x14ac:dyDescent="0.25">
      <c r="A31" t="s">
        <v>35</v>
      </c>
      <c r="B31" t="s">
        <v>39</v>
      </c>
      <c r="C31" s="2">
        <v>0</v>
      </c>
      <c r="D31" s="2">
        <v>25294</v>
      </c>
      <c r="E31" s="2">
        <v>25294</v>
      </c>
      <c r="F31">
        <v>1</v>
      </c>
    </row>
    <row r="32" spans="1:6" x14ac:dyDescent="0.25">
      <c r="A32" t="s">
        <v>35</v>
      </c>
      <c r="B32" t="s">
        <v>25</v>
      </c>
      <c r="C32" s="2">
        <v>0</v>
      </c>
      <c r="D32" s="2">
        <v>10000</v>
      </c>
      <c r="E32" s="2">
        <v>10000</v>
      </c>
      <c r="F32">
        <v>2</v>
      </c>
    </row>
    <row r="33" spans="1:6" x14ac:dyDescent="0.25">
      <c r="A33" t="s">
        <v>40</v>
      </c>
      <c r="B33" t="s">
        <v>41</v>
      </c>
      <c r="C33" s="2">
        <v>167620</v>
      </c>
      <c r="D33" s="2">
        <v>160000</v>
      </c>
      <c r="E33" s="2">
        <v>327620</v>
      </c>
      <c r="F33">
        <v>5</v>
      </c>
    </row>
    <row r="34" spans="1:6" x14ac:dyDescent="0.25">
      <c r="A34" t="s">
        <v>40</v>
      </c>
      <c r="B34" t="s">
        <v>42</v>
      </c>
      <c r="C34" s="2">
        <v>7057</v>
      </c>
      <c r="D34" s="2">
        <v>0</v>
      </c>
      <c r="E34" s="2">
        <v>7057</v>
      </c>
      <c r="F34">
        <v>1</v>
      </c>
    </row>
    <row r="35" spans="1:6" x14ac:dyDescent="0.25">
      <c r="A35" t="s">
        <v>40</v>
      </c>
      <c r="B35" t="s">
        <v>36</v>
      </c>
      <c r="C35" s="2">
        <v>15101</v>
      </c>
      <c r="D35" s="2">
        <v>0</v>
      </c>
      <c r="E35" s="2">
        <v>15101</v>
      </c>
      <c r="F35">
        <v>1</v>
      </c>
    </row>
    <row r="36" spans="1:6" x14ac:dyDescent="0.25">
      <c r="A36" t="s">
        <v>40</v>
      </c>
      <c r="B36" t="s">
        <v>37</v>
      </c>
      <c r="C36" s="2">
        <v>45304</v>
      </c>
      <c r="D36" s="2">
        <v>0</v>
      </c>
      <c r="E36" s="2">
        <v>45304</v>
      </c>
      <c r="F36">
        <v>1</v>
      </c>
    </row>
    <row r="37" spans="1:6" x14ac:dyDescent="0.25">
      <c r="A37" t="s">
        <v>40</v>
      </c>
      <c r="B37" t="s">
        <v>43</v>
      </c>
      <c r="C37" s="2">
        <v>0</v>
      </c>
      <c r="D37" s="2">
        <v>5000</v>
      </c>
      <c r="E37" s="2">
        <v>5000</v>
      </c>
      <c r="F37">
        <v>1</v>
      </c>
    </row>
    <row r="38" spans="1:6" x14ac:dyDescent="0.25">
      <c r="A38" t="s">
        <v>44</v>
      </c>
      <c r="B38" t="s">
        <v>45</v>
      </c>
      <c r="C38" s="2">
        <v>0</v>
      </c>
      <c r="D38" s="2">
        <v>754</v>
      </c>
      <c r="E38" s="2">
        <v>754</v>
      </c>
      <c r="F38">
        <v>1</v>
      </c>
    </row>
    <row r="39" spans="1:6" x14ac:dyDescent="0.25">
      <c r="A39" t="s">
        <v>46</v>
      </c>
      <c r="B39" t="s">
        <v>47</v>
      </c>
      <c r="C39" s="2">
        <v>0</v>
      </c>
      <c r="D39" s="2">
        <v>800</v>
      </c>
      <c r="E39" s="2">
        <v>800</v>
      </c>
      <c r="F39">
        <v>1</v>
      </c>
    </row>
    <row r="40" spans="1:6" x14ac:dyDescent="0.25">
      <c r="A40" t="s">
        <v>46</v>
      </c>
      <c r="B40" t="s">
        <v>48</v>
      </c>
      <c r="C40" s="2">
        <v>0</v>
      </c>
      <c r="D40" s="2">
        <v>787</v>
      </c>
      <c r="E40" s="2">
        <v>787</v>
      </c>
      <c r="F40">
        <v>1</v>
      </c>
    </row>
    <row r="41" spans="1:6" x14ac:dyDescent="0.25">
      <c r="A41" t="s">
        <v>49</v>
      </c>
      <c r="B41" t="s">
        <v>50</v>
      </c>
      <c r="C41" s="2">
        <v>199389</v>
      </c>
      <c r="D41" s="2">
        <v>0</v>
      </c>
      <c r="E41" s="2">
        <v>199389</v>
      </c>
      <c r="F41">
        <v>1</v>
      </c>
    </row>
    <row r="42" spans="1:6" x14ac:dyDescent="0.25">
      <c r="A42" t="s">
        <v>49</v>
      </c>
      <c r="B42" t="s">
        <v>51</v>
      </c>
      <c r="C42" s="2">
        <v>185801</v>
      </c>
      <c r="D42" s="2">
        <v>50000</v>
      </c>
      <c r="E42" s="2">
        <v>235801</v>
      </c>
      <c r="F42">
        <v>2</v>
      </c>
    </row>
    <row r="43" spans="1:6" x14ac:dyDescent="0.25">
      <c r="A43" t="s">
        <v>52</v>
      </c>
      <c r="B43" t="s">
        <v>53</v>
      </c>
      <c r="C43" s="2">
        <v>18686</v>
      </c>
      <c r="D43" s="2">
        <v>0</v>
      </c>
      <c r="E43" s="2">
        <v>18686</v>
      </c>
      <c r="F43">
        <v>1</v>
      </c>
    </row>
    <row r="44" spans="1:6" x14ac:dyDescent="0.25">
      <c r="A44" t="s">
        <v>52</v>
      </c>
      <c r="B44" t="s">
        <v>54</v>
      </c>
      <c r="C44" s="2">
        <v>15106</v>
      </c>
      <c r="D44" s="2">
        <v>0</v>
      </c>
      <c r="E44" s="2">
        <v>15106</v>
      </c>
      <c r="F44">
        <v>1</v>
      </c>
    </row>
    <row r="45" spans="1:6" x14ac:dyDescent="0.25">
      <c r="A45" t="s">
        <v>52</v>
      </c>
      <c r="B45" t="s">
        <v>55</v>
      </c>
      <c r="C45" s="2">
        <v>2820</v>
      </c>
      <c r="D45" s="2">
        <v>0</v>
      </c>
      <c r="E45" s="2">
        <v>2820</v>
      </c>
      <c r="F45">
        <v>1</v>
      </c>
    </row>
    <row r="46" spans="1:6" x14ac:dyDescent="0.25">
      <c r="A46" t="s">
        <v>52</v>
      </c>
      <c r="B46" t="s">
        <v>56</v>
      </c>
      <c r="C46" s="2">
        <v>0</v>
      </c>
      <c r="D46" s="2">
        <v>30000</v>
      </c>
      <c r="E46" s="2">
        <v>30000</v>
      </c>
      <c r="F46">
        <v>2</v>
      </c>
    </row>
    <row r="47" spans="1:6" x14ac:dyDescent="0.25">
      <c r="A47" t="s">
        <v>52</v>
      </c>
      <c r="B47" t="s">
        <v>11</v>
      </c>
      <c r="C47" s="2">
        <v>7394</v>
      </c>
      <c r="D47" s="2">
        <v>0</v>
      </c>
      <c r="E47" s="2">
        <v>7394</v>
      </c>
      <c r="F47">
        <v>1</v>
      </c>
    </row>
    <row r="48" spans="1:6" x14ac:dyDescent="0.25">
      <c r="A48" t="s">
        <v>57</v>
      </c>
      <c r="B48" t="s">
        <v>58</v>
      </c>
      <c r="C48" s="2">
        <v>71059</v>
      </c>
      <c r="D48" s="2">
        <v>0</v>
      </c>
      <c r="E48" s="2">
        <v>71059</v>
      </c>
      <c r="F48">
        <v>3</v>
      </c>
    </row>
    <row r="49" spans="1:6" x14ac:dyDescent="0.25">
      <c r="A49" t="s">
        <v>59</v>
      </c>
      <c r="B49" t="s">
        <v>60</v>
      </c>
      <c r="C49" s="2">
        <v>0</v>
      </c>
      <c r="D49" s="2">
        <v>14545</v>
      </c>
      <c r="E49" s="2">
        <v>14545</v>
      </c>
      <c r="F49">
        <v>1</v>
      </c>
    </row>
    <row r="50" spans="1:6" x14ac:dyDescent="0.25">
      <c r="A50" t="s">
        <v>59</v>
      </c>
      <c r="B50" t="s">
        <v>61</v>
      </c>
      <c r="C50" s="2">
        <v>0</v>
      </c>
      <c r="D50" s="2">
        <v>12967</v>
      </c>
      <c r="E50" s="2">
        <v>12967</v>
      </c>
      <c r="F50">
        <v>1</v>
      </c>
    </row>
    <row r="51" spans="1:6" x14ac:dyDescent="0.25">
      <c r="A51" t="s">
        <v>59</v>
      </c>
      <c r="B51" t="s">
        <v>62</v>
      </c>
      <c r="C51" s="2">
        <v>0</v>
      </c>
      <c r="D51" s="2">
        <v>8644</v>
      </c>
      <c r="E51" s="2">
        <v>8644</v>
      </c>
      <c r="F51">
        <v>1</v>
      </c>
    </row>
    <row r="52" spans="1:6" x14ac:dyDescent="0.25">
      <c r="A52" t="s">
        <v>59</v>
      </c>
      <c r="B52" t="s">
        <v>63</v>
      </c>
      <c r="C52" s="2">
        <v>3450</v>
      </c>
      <c r="D52" s="2">
        <v>0</v>
      </c>
      <c r="E52" s="2">
        <v>3450</v>
      </c>
      <c r="F52">
        <v>1</v>
      </c>
    </row>
    <row r="53" spans="1:6" x14ac:dyDescent="0.25">
      <c r="A53" t="s">
        <v>64</v>
      </c>
      <c r="B53" t="s">
        <v>11</v>
      </c>
      <c r="C53" s="2">
        <v>0</v>
      </c>
      <c r="D53" s="2">
        <v>458251</v>
      </c>
      <c r="E53" s="2">
        <v>458251</v>
      </c>
      <c r="F53">
        <v>2</v>
      </c>
    </row>
    <row r="54" spans="1:6" x14ac:dyDescent="0.25">
      <c r="A54" t="s">
        <v>65</v>
      </c>
      <c r="B54" t="s">
        <v>54</v>
      </c>
      <c r="C54" s="2">
        <v>0</v>
      </c>
      <c r="D54" s="2">
        <v>531</v>
      </c>
      <c r="E54" s="2">
        <v>531</v>
      </c>
      <c r="F54">
        <v>1</v>
      </c>
    </row>
    <row r="55" spans="1:6" x14ac:dyDescent="0.25">
      <c r="A55" t="s">
        <v>65</v>
      </c>
      <c r="B55" t="s">
        <v>66</v>
      </c>
      <c r="C55" s="2">
        <v>0</v>
      </c>
      <c r="D55" s="2">
        <v>20000</v>
      </c>
      <c r="E55" s="2">
        <v>20000</v>
      </c>
      <c r="F55">
        <v>1</v>
      </c>
    </row>
    <row r="56" spans="1:6" x14ac:dyDescent="0.25">
      <c r="A56" t="s">
        <v>65</v>
      </c>
      <c r="B56" t="s">
        <v>67</v>
      </c>
      <c r="C56" s="2">
        <v>0</v>
      </c>
      <c r="D56" s="2">
        <v>13000</v>
      </c>
      <c r="E56" s="2">
        <v>13000</v>
      </c>
      <c r="F56">
        <v>1</v>
      </c>
    </row>
    <row r="57" spans="1:6" x14ac:dyDescent="0.25">
      <c r="A57" t="s">
        <v>65</v>
      </c>
      <c r="B57" t="s">
        <v>68</v>
      </c>
      <c r="C57" s="2">
        <v>0</v>
      </c>
      <c r="D57" s="2">
        <v>6000</v>
      </c>
      <c r="E57" s="2">
        <v>6000</v>
      </c>
      <c r="F57">
        <v>1</v>
      </c>
    </row>
    <row r="58" spans="1:6" x14ac:dyDescent="0.25">
      <c r="A58" t="s">
        <v>65</v>
      </c>
      <c r="B58" t="s">
        <v>69</v>
      </c>
      <c r="C58" s="2">
        <v>0</v>
      </c>
      <c r="D58" s="2">
        <v>4000</v>
      </c>
      <c r="E58" s="2">
        <v>4000</v>
      </c>
      <c r="F58">
        <v>1</v>
      </c>
    </row>
    <row r="59" spans="1:6" x14ac:dyDescent="0.25">
      <c r="A59" t="s">
        <v>65</v>
      </c>
      <c r="B59" t="s">
        <v>10</v>
      </c>
      <c r="C59" s="2">
        <v>3003</v>
      </c>
      <c r="D59" s="2">
        <v>0</v>
      </c>
      <c r="E59" s="2">
        <v>3003</v>
      </c>
      <c r="F59">
        <v>1</v>
      </c>
    </row>
    <row r="60" spans="1:6" x14ac:dyDescent="0.25">
      <c r="A60" t="s">
        <v>65</v>
      </c>
      <c r="B60" t="s">
        <v>11</v>
      </c>
      <c r="C60" s="2">
        <v>13708</v>
      </c>
      <c r="D60" s="2">
        <v>5305</v>
      </c>
      <c r="E60" s="2">
        <v>19013</v>
      </c>
      <c r="F60">
        <v>3</v>
      </c>
    </row>
    <row r="61" spans="1:6" x14ac:dyDescent="0.25">
      <c r="A61" t="s">
        <v>70</v>
      </c>
      <c r="B61" t="s">
        <v>71</v>
      </c>
      <c r="C61" s="2">
        <v>0</v>
      </c>
      <c r="D61" s="2">
        <v>30793</v>
      </c>
      <c r="E61" s="2">
        <v>30793</v>
      </c>
      <c r="F61">
        <v>1</v>
      </c>
    </row>
    <row r="62" spans="1:6" x14ac:dyDescent="0.25">
      <c r="A62" t="s">
        <v>72</v>
      </c>
      <c r="B62" t="s">
        <v>73</v>
      </c>
      <c r="C62" s="2">
        <v>27848</v>
      </c>
      <c r="D62" s="2">
        <v>0</v>
      </c>
      <c r="E62" s="2">
        <v>27848</v>
      </c>
      <c r="F62">
        <v>1</v>
      </c>
    </row>
    <row r="63" spans="1:6" x14ac:dyDescent="0.25">
      <c r="A63" t="s">
        <v>74</v>
      </c>
      <c r="B63" t="s">
        <v>75</v>
      </c>
      <c r="C63" s="2">
        <v>5011</v>
      </c>
      <c r="D63" s="2">
        <v>0</v>
      </c>
      <c r="E63" s="2">
        <v>5011</v>
      </c>
      <c r="F63">
        <v>1</v>
      </c>
    </row>
    <row r="64" spans="1:6" x14ac:dyDescent="0.25">
      <c r="A64" t="s">
        <v>76</v>
      </c>
      <c r="B64" t="s">
        <v>25</v>
      </c>
      <c r="C64" s="2">
        <v>0</v>
      </c>
      <c r="D64" s="2">
        <v>16850</v>
      </c>
      <c r="E64" s="2">
        <v>16850</v>
      </c>
      <c r="F64">
        <v>2</v>
      </c>
    </row>
    <row r="65" spans="1:6" x14ac:dyDescent="0.25">
      <c r="A65" t="s">
        <v>77</v>
      </c>
      <c r="B65" t="s">
        <v>11</v>
      </c>
      <c r="C65" s="2">
        <v>19150</v>
      </c>
      <c r="D65" s="2">
        <v>0</v>
      </c>
      <c r="E65" s="2">
        <v>19150</v>
      </c>
      <c r="F65">
        <v>2</v>
      </c>
    </row>
    <row r="66" spans="1:6" x14ac:dyDescent="0.25">
      <c r="A66" t="s">
        <v>78</v>
      </c>
      <c r="B66" t="s">
        <v>79</v>
      </c>
      <c r="C66" s="2">
        <v>103607</v>
      </c>
      <c r="D66" s="2">
        <v>0</v>
      </c>
      <c r="E66" s="2">
        <v>103607</v>
      </c>
      <c r="F66">
        <v>2</v>
      </c>
    </row>
    <row r="67" spans="1:6" x14ac:dyDescent="0.25">
      <c r="A67" t="s">
        <v>80</v>
      </c>
      <c r="B67" t="s">
        <v>11</v>
      </c>
      <c r="C67" s="2">
        <v>0</v>
      </c>
      <c r="D67" s="2">
        <v>24084</v>
      </c>
      <c r="E67" s="2">
        <v>24084</v>
      </c>
      <c r="F67">
        <v>1</v>
      </c>
    </row>
    <row r="68" spans="1:6" x14ac:dyDescent="0.25">
      <c r="A68" t="s">
        <v>81</v>
      </c>
      <c r="B68" t="s">
        <v>51</v>
      </c>
      <c r="C68" s="2">
        <v>39000</v>
      </c>
      <c r="D68" s="2">
        <v>0</v>
      </c>
      <c r="E68" s="2">
        <v>39000</v>
      </c>
      <c r="F68">
        <v>1</v>
      </c>
    </row>
    <row r="69" spans="1:6" x14ac:dyDescent="0.25">
      <c r="A69" t="s">
        <v>82</v>
      </c>
      <c r="B69" t="s">
        <v>83</v>
      </c>
      <c r="C69" s="2">
        <v>5774</v>
      </c>
      <c r="D69" s="2">
        <v>86748</v>
      </c>
      <c r="E69" s="2">
        <v>92522</v>
      </c>
      <c r="F69">
        <v>2</v>
      </c>
    </row>
    <row r="70" spans="1:6" x14ac:dyDescent="0.25">
      <c r="A70" t="s">
        <v>84</v>
      </c>
      <c r="B70" t="s">
        <v>85</v>
      </c>
      <c r="C70" s="2">
        <v>0</v>
      </c>
      <c r="D70" s="2">
        <v>189453</v>
      </c>
      <c r="E70" s="2">
        <v>189453</v>
      </c>
      <c r="F70">
        <v>2</v>
      </c>
    </row>
    <row r="71" spans="1:6" x14ac:dyDescent="0.25">
      <c r="A71" t="s">
        <v>86</v>
      </c>
      <c r="B71" t="s">
        <v>87</v>
      </c>
      <c r="C71" s="2">
        <v>51566</v>
      </c>
      <c r="D71" s="2">
        <v>0</v>
      </c>
      <c r="E71" s="2">
        <v>51566</v>
      </c>
      <c r="F71">
        <v>1</v>
      </c>
    </row>
    <row r="72" spans="1:6" x14ac:dyDescent="0.25">
      <c r="A72" t="s">
        <v>86</v>
      </c>
      <c r="B72" t="s">
        <v>88</v>
      </c>
      <c r="C72" s="2">
        <v>74707</v>
      </c>
      <c r="D72" s="2">
        <v>0</v>
      </c>
      <c r="E72" s="2">
        <v>74707</v>
      </c>
      <c r="F72">
        <v>1</v>
      </c>
    </row>
    <row r="73" spans="1:6" x14ac:dyDescent="0.25">
      <c r="A73" t="s">
        <v>86</v>
      </c>
      <c r="B73" t="s">
        <v>89</v>
      </c>
      <c r="C73" s="2">
        <v>0</v>
      </c>
      <c r="D73" s="2">
        <v>19395</v>
      </c>
      <c r="E73" s="2">
        <v>19395</v>
      </c>
      <c r="F73">
        <v>1</v>
      </c>
    </row>
    <row r="74" spans="1:6" x14ac:dyDescent="0.25">
      <c r="A74" t="s">
        <v>90</v>
      </c>
      <c r="B74" t="s">
        <v>91</v>
      </c>
      <c r="C74" s="2">
        <v>0</v>
      </c>
      <c r="D74" s="2">
        <v>20000</v>
      </c>
      <c r="E74" s="2">
        <v>20000</v>
      </c>
      <c r="F74">
        <v>1</v>
      </c>
    </row>
    <row r="75" spans="1:6" x14ac:dyDescent="0.25">
      <c r="A75" t="s">
        <v>90</v>
      </c>
      <c r="B75" t="s">
        <v>92</v>
      </c>
      <c r="C75" s="2">
        <v>0</v>
      </c>
      <c r="D75" s="2">
        <v>3994</v>
      </c>
      <c r="E75" s="2">
        <v>3994</v>
      </c>
      <c r="F75">
        <v>1</v>
      </c>
    </row>
    <row r="76" spans="1:6" x14ac:dyDescent="0.25">
      <c r="A76" t="s">
        <v>90</v>
      </c>
      <c r="B76" t="s">
        <v>93</v>
      </c>
      <c r="C76" s="2">
        <v>0</v>
      </c>
      <c r="D76" s="2">
        <v>3997</v>
      </c>
      <c r="E76" s="2">
        <v>3997</v>
      </c>
      <c r="F76">
        <v>1</v>
      </c>
    </row>
    <row r="77" spans="1:6" x14ac:dyDescent="0.25">
      <c r="A77" t="s">
        <v>90</v>
      </c>
      <c r="B77" t="s">
        <v>11</v>
      </c>
      <c r="C77" s="2">
        <v>21700</v>
      </c>
      <c r="D77" s="2">
        <v>0</v>
      </c>
      <c r="E77" s="2">
        <v>21700</v>
      </c>
      <c r="F77">
        <v>2</v>
      </c>
    </row>
    <row r="78" spans="1:6" x14ac:dyDescent="0.25">
      <c r="A78" t="s">
        <v>94</v>
      </c>
      <c r="B78" t="s">
        <v>95</v>
      </c>
      <c r="C78" s="2">
        <v>0</v>
      </c>
      <c r="D78" s="2">
        <v>2000</v>
      </c>
      <c r="E78" s="2">
        <v>2000</v>
      </c>
      <c r="F78">
        <v>1</v>
      </c>
    </row>
    <row r="79" spans="1:6" x14ac:dyDescent="0.25">
      <c r="A79" t="s">
        <v>94</v>
      </c>
      <c r="B79" t="s">
        <v>96</v>
      </c>
      <c r="C79" s="2">
        <v>7312</v>
      </c>
      <c r="D79" s="2">
        <v>0</v>
      </c>
      <c r="E79" s="2">
        <v>7312</v>
      </c>
      <c r="F79">
        <v>1</v>
      </c>
    </row>
    <row r="80" spans="1:6" x14ac:dyDescent="0.25">
      <c r="A80" t="s">
        <v>94</v>
      </c>
      <c r="B80" t="s">
        <v>97</v>
      </c>
      <c r="C80" s="2">
        <v>14733</v>
      </c>
      <c r="D80" s="2">
        <v>0</v>
      </c>
      <c r="E80" s="2">
        <v>14733</v>
      </c>
      <c r="F80">
        <v>2</v>
      </c>
    </row>
    <row r="81" spans="1:6" x14ac:dyDescent="0.25">
      <c r="A81" t="s">
        <v>94</v>
      </c>
      <c r="B81" t="s">
        <v>98</v>
      </c>
      <c r="C81" s="2">
        <v>0</v>
      </c>
      <c r="D81" s="2">
        <v>7410</v>
      </c>
      <c r="E81" s="2">
        <v>7410</v>
      </c>
      <c r="F81">
        <v>1</v>
      </c>
    </row>
    <row r="82" spans="1:6" x14ac:dyDescent="0.25">
      <c r="A82" t="s">
        <v>94</v>
      </c>
      <c r="B82" t="s">
        <v>11</v>
      </c>
      <c r="C82" s="2">
        <v>34907</v>
      </c>
      <c r="D82" s="2">
        <v>0</v>
      </c>
      <c r="E82" s="2">
        <v>34907</v>
      </c>
      <c r="F82">
        <v>2</v>
      </c>
    </row>
    <row r="83" spans="1:6" x14ac:dyDescent="0.25">
      <c r="A83" t="s">
        <v>99</v>
      </c>
      <c r="B83" t="s">
        <v>50</v>
      </c>
      <c r="C83" s="2">
        <v>20932</v>
      </c>
      <c r="D83" s="2">
        <v>0</v>
      </c>
      <c r="E83" s="2">
        <v>20932</v>
      </c>
      <c r="F83">
        <v>1</v>
      </c>
    </row>
    <row r="84" spans="1:6" x14ac:dyDescent="0.25">
      <c r="A84" t="s">
        <v>99</v>
      </c>
      <c r="B84" t="s">
        <v>51</v>
      </c>
      <c r="C84" s="2">
        <v>5266</v>
      </c>
      <c r="D84" s="2">
        <v>15000</v>
      </c>
      <c r="E84" s="2">
        <v>20266</v>
      </c>
      <c r="F84">
        <v>2</v>
      </c>
    </row>
    <row r="85" spans="1:6" x14ac:dyDescent="0.25">
      <c r="A85" t="s">
        <v>100</v>
      </c>
      <c r="B85" t="s">
        <v>101</v>
      </c>
      <c r="C85" s="2">
        <v>0</v>
      </c>
      <c r="D85" s="2">
        <v>50000</v>
      </c>
      <c r="E85" s="2">
        <v>50000</v>
      </c>
      <c r="F85">
        <v>1</v>
      </c>
    </row>
    <row r="86" spans="1:6" x14ac:dyDescent="0.25">
      <c r="A86" t="s">
        <v>100</v>
      </c>
      <c r="B86" t="s">
        <v>102</v>
      </c>
      <c r="C86" s="2">
        <v>0</v>
      </c>
      <c r="D86" s="2">
        <v>10000</v>
      </c>
      <c r="E86" s="2">
        <v>10000</v>
      </c>
      <c r="F86">
        <v>1</v>
      </c>
    </row>
    <row r="87" spans="1:6" x14ac:dyDescent="0.25">
      <c r="A87" t="s">
        <v>103</v>
      </c>
      <c r="B87" t="s">
        <v>79</v>
      </c>
      <c r="C87" s="2">
        <v>0</v>
      </c>
      <c r="D87" s="2">
        <v>25321</v>
      </c>
      <c r="E87" s="2">
        <v>25321</v>
      </c>
      <c r="F87">
        <v>1</v>
      </c>
    </row>
    <row r="88" spans="1:6" x14ac:dyDescent="0.25">
      <c r="A88" t="s">
        <v>104</v>
      </c>
      <c r="B88" t="s">
        <v>85</v>
      </c>
      <c r="C88" s="2">
        <v>0</v>
      </c>
      <c r="D88" s="2">
        <v>50000</v>
      </c>
      <c r="E88" s="2">
        <v>50000</v>
      </c>
      <c r="F88">
        <v>1</v>
      </c>
    </row>
    <row r="89" spans="1:6" x14ac:dyDescent="0.25">
      <c r="A89" t="s">
        <v>104</v>
      </c>
      <c r="B89" t="s">
        <v>105</v>
      </c>
      <c r="C89" s="2">
        <v>0</v>
      </c>
      <c r="D89" s="2">
        <v>50000</v>
      </c>
      <c r="E89" s="2">
        <v>50000</v>
      </c>
      <c r="F89">
        <v>1</v>
      </c>
    </row>
    <row r="90" spans="1:6" x14ac:dyDescent="0.25">
      <c r="A90" t="s">
        <v>106</v>
      </c>
      <c r="B90" t="s">
        <v>107</v>
      </c>
      <c r="C90" s="2">
        <v>93085</v>
      </c>
      <c r="D90" s="2">
        <v>0</v>
      </c>
      <c r="E90" s="2">
        <v>93085</v>
      </c>
      <c r="F90">
        <v>6</v>
      </c>
    </row>
    <row r="91" spans="1:6" x14ac:dyDescent="0.25">
      <c r="A91" t="s">
        <v>108</v>
      </c>
      <c r="B91" t="s">
        <v>36</v>
      </c>
      <c r="C91" s="2">
        <v>0</v>
      </c>
      <c r="D91" s="2">
        <v>2350</v>
      </c>
      <c r="E91" s="2">
        <v>2350</v>
      </c>
      <c r="F91">
        <v>1</v>
      </c>
    </row>
    <row r="92" spans="1:6" x14ac:dyDescent="0.25">
      <c r="A92" t="s">
        <v>108</v>
      </c>
      <c r="B92" t="s">
        <v>37</v>
      </c>
      <c r="C92" s="2">
        <v>0</v>
      </c>
      <c r="D92" s="2">
        <v>7052</v>
      </c>
      <c r="E92" s="2">
        <v>7052</v>
      </c>
      <c r="F92">
        <v>1</v>
      </c>
    </row>
    <row r="93" spans="1:6" x14ac:dyDescent="0.25">
      <c r="A93" t="s">
        <v>108</v>
      </c>
      <c r="B93" t="s">
        <v>109</v>
      </c>
      <c r="C93" s="2">
        <v>14552</v>
      </c>
      <c r="D93" s="2">
        <v>20000</v>
      </c>
      <c r="E93" s="2">
        <v>34552</v>
      </c>
      <c r="F93">
        <v>2</v>
      </c>
    </row>
    <row r="94" spans="1:6" x14ac:dyDescent="0.25">
      <c r="A94" t="s">
        <v>108</v>
      </c>
      <c r="B94" t="s">
        <v>110</v>
      </c>
      <c r="C94" s="2">
        <v>0</v>
      </c>
      <c r="D94" s="2">
        <v>5000</v>
      </c>
      <c r="E94" s="2">
        <v>5000</v>
      </c>
      <c r="F94">
        <v>1</v>
      </c>
    </row>
    <row r="95" spans="1:6" x14ac:dyDescent="0.25">
      <c r="A95" t="s">
        <v>108</v>
      </c>
      <c r="B95" t="s">
        <v>111</v>
      </c>
      <c r="C95" s="2">
        <v>30497</v>
      </c>
      <c r="D95" s="2">
        <v>35000</v>
      </c>
      <c r="E95" s="2">
        <v>65497</v>
      </c>
      <c r="F95">
        <v>2</v>
      </c>
    </row>
    <row r="96" spans="1:6" x14ac:dyDescent="0.25">
      <c r="A96" t="s">
        <v>112</v>
      </c>
      <c r="B96" t="s">
        <v>113</v>
      </c>
      <c r="C96" s="2">
        <v>11890</v>
      </c>
      <c r="D96" s="2">
        <v>0</v>
      </c>
      <c r="E96" s="2">
        <v>11890</v>
      </c>
      <c r="F96">
        <v>1</v>
      </c>
    </row>
    <row r="97" spans="1:6" x14ac:dyDescent="0.25">
      <c r="A97" t="s">
        <v>112</v>
      </c>
      <c r="B97" t="s">
        <v>114</v>
      </c>
      <c r="C97" s="2">
        <v>0</v>
      </c>
      <c r="D97" s="2">
        <v>50000</v>
      </c>
      <c r="E97" s="2">
        <v>50000</v>
      </c>
      <c r="F97">
        <v>1</v>
      </c>
    </row>
    <row r="98" spans="1:6" x14ac:dyDescent="0.25">
      <c r="A98" t="s">
        <v>112</v>
      </c>
      <c r="B98" t="s">
        <v>115</v>
      </c>
      <c r="C98" s="2">
        <v>32084</v>
      </c>
      <c r="D98" s="2">
        <v>0</v>
      </c>
      <c r="E98" s="2">
        <v>32084</v>
      </c>
      <c r="F98">
        <v>1</v>
      </c>
    </row>
    <row r="99" spans="1:6" x14ac:dyDescent="0.25">
      <c r="A99" t="s">
        <v>112</v>
      </c>
      <c r="B99" t="s">
        <v>116</v>
      </c>
      <c r="C99" s="2">
        <v>0</v>
      </c>
      <c r="D99" s="2">
        <v>31636</v>
      </c>
      <c r="E99" s="2">
        <v>31636</v>
      </c>
      <c r="F99">
        <v>1</v>
      </c>
    </row>
    <row r="100" spans="1:6" x14ac:dyDescent="0.25">
      <c r="A100" t="s">
        <v>112</v>
      </c>
      <c r="B100" t="s">
        <v>55</v>
      </c>
      <c r="C100" s="2">
        <v>1863</v>
      </c>
      <c r="D100" s="2">
        <v>5000</v>
      </c>
      <c r="E100" s="2">
        <v>6863</v>
      </c>
      <c r="F100">
        <v>2</v>
      </c>
    </row>
    <row r="101" spans="1:6" x14ac:dyDescent="0.25">
      <c r="A101" t="s">
        <v>112</v>
      </c>
      <c r="B101" t="s">
        <v>117</v>
      </c>
      <c r="C101" s="2">
        <v>0</v>
      </c>
      <c r="D101" s="2">
        <v>15000</v>
      </c>
      <c r="E101" s="2">
        <v>15000</v>
      </c>
      <c r="F101">
        <v>1</v>
      </c>
    </row>
    <row r="102" spans="1:6" x14ac:dyDescent="0.25">
      <c r="A102" t="s">
        <v>112</v>
      </c>
      <c r="B102" t="s">
        <v>118</v>
      </c>
      <c r="C102" s="2">
        <v>7020</v>
      </c>
      <c r="D102" s="2">
        <v>0</v>
      </c>
      <c r="E102" s="2">
        <v>7020</v>
      </c>
      <c r="F102">
        <v>1</v>
      </c>
    </row>
    <row r="103" spans="1:6" x14ac:dyDescent="0.25">
      <c r="A103" t="s">
        <v>112</v>
      </c>
      <c r="B103" t="s">
        <v>47</v>
      </c>
      <c r="C103" s="2">
        <v>14430</v>
      </c>
      <c r="D103" s="2">
        <v>0</v>
      </c>
      <c r="E103" s="2">
        <v>14430</v>
      </c>
      <c r="F103">
        <v>1</v>
      </c>
    </row>
    <row r="104" spans="1:6" x14ac:dyDescent="0.25">
      <c r="A104" t="s">
        <v>112</v>
      </c>
      <c r="B104" t="s">
        <v>119</v>
      </c>
      <c r="C104" s="2">
        <v>6451</v>
      </c>
      <c r="D104" s="2">
        <v>0</v>
      </c>
      <c r="E104" s="2">
        <v>6451</v>
      </c>
      <c r="F104">
        <v>1</v>
      </c>
    </row>
    <row r="105" spans="1:6" x14ac:dyDescent="0.25">
      <c r="A105" t="s">
        <v>112</v>
      </c>
      <c r="B105" t="s">
        <v>120</v>
      </c>
      <c r="C105" s="2">
        <v>7605</v>
      </c>
      <c r="D105" s="2">
        <v>0</v>
      </c>
      <c r="E105" s="2">
        <v>7605</v>
      </c>
      <c r="F105">
        <v>1</v>
      </c>
    </row>
    <row r="106" spans="1:6" x14ac:dyDescent="0.25">
      <c r="A106" t="s">
        <v>112</v>
      </c>
      <c r="B106" t="s">
        <v>121</v>
      </c>
      <c r="C106" s="2">
        <v>0</v>
      </c>
      <c r="D106" s="2">
        <v>25871</v>
      </c>
      <c r="E106" s="2">
        <v>25871</v>
      </c>
      <c r="F106">
        <v>1</v>
      </c>
    </row>
    <row r="107" spans="1:6" x14ac:dyDescent="0.25">
      <c r="A107" t="s">
        <v>112</v>
      </c>
      <c r="B107" t="s">
        <v>122</v>
      </c>
      <c r="C107" s="2">
        <v>4510</v>
      </c>
      <c r="D107" s="2">
        <v>14665</v>
      </c>
      <c r="E107" s="2">
        <v>19175</v>
      </c>
      <c r="F107">
        <v>2</v>
      </c>
    </row>
    <row r="108" spans="1:6" x14ac:dyDescent="0.25">
      <c r="A108" t="s">
        <v>112</v>
      </c>
      <c r="B108" t="s">
        <v>11</v>
      </c>
      <c r="C108" s="2">
        <v>22507</v>
      </c>
      <c r="D108" s="2">
        <v>0</v>
      </c>
      <c r="E108" s="2">
        <v>22507</v>
      </c>
      <c r="F108">
        <v>1</v>
      </c>
    </row>
    <row r="109" spans="1:6" x14ac:dyDescent="0.25">
      <c r="A109" t="s">
        <v>123</v>
      </c>
      <c r="B109" t="s">
        <v>124</v>
      </c>
      <c r="C109" s="2">
        <v>1303</v>
      </c>
      <c r="D109" s="2">
        <v>0</v>
      </c>
      <c r="E109" s="2">
        <v>1303</v>
      </c>
      <c r="F109">
        <v>1</v>
      </c>
    </row>
    <row r="110" spans="1:6" x14ac:dyDescent="0.25">
      <c r="A110" t="s">
        <v>123</v>
      </c>
      <c r="B110" t="s">
        <v>125</v>
      </c>
      <c r="C110" s="2">
        <v>0</v>
      </c>
      <c r="D110" s="2">
        <v>20000</v>
      </c>
      <c r="E110" s="2">
        <v>20000</v>
      </c>
      <c r="F110">
        <v>1</v>
      </c>
    </row>
    <row r="111" spans="1:6" x14ac:dyDescent="0.25">
      <c r="A111" t="s">
        <v>126</v>
      </c>
      <c r="B111" t="s">
        <v>127</v>
      </c>
      <c r="C111" s="2">
        <v>0</v>
      </c>
      <c r="D111" s="2">
        <v>4206</v>
      </c>
      <c r="E111" s="2">
        <v>4206</v>
      </c>
      <c r="F111">
        <v>1</v>
      </c>
    </row>
    <row r="112" spans="1:6" x14ac:dyDescent="0.25">
      <c r="B112" s="3" t="s">
        <v>128</v>
      </c>
      <c r="C112" s="3">
        <f>SUM(C2:C111)</f>
        <v>2157411</v>
      </c>
      <c r="D112" s="3">
        <f>SUM(D2:D111)</f>
        <v>2213546</v>
      </c>
      <c r="E112" s="3">
        <f>SUM(E2:E111)</f>
        <v>4370957</v>
      </c>
      <c r="F112" s="3">
        <f>SUM(F2:F111)</f>
        <v>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6</v>
      </c>
      <c r="C2" s="10"/>
      <c r="D2" s="10"/>
      <c r="E2" s="10"/>
    </row>
    <row r="3" spans="1:5" x14ac:dyDescent="0.25">
      <c r="A3" t="s">
        <v>131</v>
      </c>
      <c r="B3" s="2">
        <v>24927</v>
      </c>
    </row>
    <row r="4" spans="1:5" x14ac:dyDescent="0.25">
      <c r="A4" t="s">
        <v>132</v>
      </c>
      <c r="B4" s="10" t="s">
        <v>7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24927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6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8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6317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6</v>
      </c>
      <c r="C2" s="10"/>
      <c r="D2" s="10"/>
      <c r="E2" s="10"/>
    </row>
    <row r="3" spans="1:5" x14ac:dyDescent="0.25">
      <c r="A3" t="s">
        <v>131</v>
      </c>
      <c r="B3" s="2">
        <v>36336</v>
      </c>
    </row>
    <row r="4" spans="1:5" x14ac:dyDescent="0.25">
      <c r="A4" t="s">
        <v>132</v>
      </c>
      <c r="B4" s="10" t="s">
        <v>9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36336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6</v>
      </c>
      <c r="C2" s="10"/>
      <c r="D2" s="10"/>
      <c r="E2" s="10"/>
    </row>
    <row r="3" spans="1:5" x14ac:dyDescent="0.25">
      <c r="A3" t="s">
        <v>131</v>
      </c>
      <c r="B3" s="2">
        <v>2928</v>
      </c>
    </row>
    <row r="4" spans="1:5" x14ac:dyDescent="0.25">
      <c r="A4" t="s">
        <v>132</v>
      </c>
      <c r="B4" s="10" t="s">
        <v>10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2928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6</v>
      </c>
      <c r="C2" s="10"/>
      <c r="D2" s="10"/>
      <c r="E2" s="10"/>
    </row>
    <row r="3" spans="1:5" x14ac:dyDescent="0.25">
      <c r="A3" t="s">
        <v>131</v>
      </c>
      <c r="B3" s="2">
        <v>4184</v>
      </c>
    </row>
    <row r="4" spans="1:5" x14ac:dyDescent="0.25">
      <c r="A4" t="s">
        <v>132</v>
      </c>
      <c r="B4" s="10" t="s">
        <v>11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4184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12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13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1720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12</v>
      </c>
      <c r="C2" s="10"/>
      <c r="D2" s="10"/>
      <c r="E2" s="10"/>
    </row>
    <row r="3" spans="1:5" x14ac:dyDescent="0.25">
      <c r="A3" t="s">
        <v>131</v>
      </c>
      <c r="B3" s="2">
        <v>44789</v>
      </c>
    </row>
    <row r="4" spans="1:5" x14ac:dyDescent="0.25">
      <c r="A4" t="s">
        <v>132</v>
      </c>
      <c r="B4" s="10" t="s">
        <v>14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44789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12</v>
      </c>
      <c r="C2" s="10"/>
      <c r="D2" s="10"/>
      <c r="E2" s="10"/>
    </row>
    <row r="3" spans="1:5" x14ac:dyDescent="0.25">
      <c r="A3" t="s">
        <v>131</v>
      </c>
      <c r="B3" s="2">
        <v>7269</v>
      </c>
    </row>
    <row r="4" spans="1:5" x14ac:dyDescent="0.25">
      <c r="A4" t="s">
        <v>132</v>
      </c>
      <c r="B4" s="10" t="s">
        <v>15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7269</v>
      </c>
      <c r="E22" s="6"/>
    </row>
    <row r="23" spans="1:5" x14ac:dyDescent="0.25">
      <c r="A23" s="6">
        <v>2</v>
      </c>
      <c r="B23" s="6" t="s">
        <v>159</v>
      </c>
      <c r="C23" s="6" t="s">
        <v>157</v>
      </c>
      <c r="D23" s="7">
        <v>10000</v>
      </c>
      <c r="E23" s="6"/>
    </row>
    <row r="24" spans="1:5" ht="15.75" x14ac:dyDescent="0.25">
      <c r="A24" s="8" t="s">
        <v>158</v>
      </c>
      <c r="D24" s="8">
        <f>SUM(D22:D23)</f>
        <v>17269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12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16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7277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12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17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20169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12</v>
      </c>
      <c r="C2" s="10"/>
      <c r="D2" s="10"/>
      <c r="E2" s="10"/>
    </row>
    <row r="3" spans="1:5" x14ac:dyDescent="0.25">
      <c r="A3" t="s">
        <v>131</v>
      </c>
      <c r="B3" s="2">
        <v>324629</v>
      </c>
    </row>
    <row r="4" spans="1:5" x14ac:dyDescent="0.25">
      <c r="A4" t="s">
        <v>132</v>
      </c>
      <c r="B4" s="10" t="s">
        <v>18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324629</v>
      </c>
      <c r="E22" s="6"/>
    </row>
    <row r="23" spans="1:5" x14ac:dyDescent="0.25">
      <c r="A23" s="6">
        <v>2</v>
      </c>
      <c r="B23" s="6" t="s">
        <v>159</v>
      </c>
      <c r="C23" s="6" t="s">
        <v>157</v>
      </c>
      <c r="D23" s="7">
        <v>47726</v>
      </c>
      <c r="E23" s="6"/>
    </row>
    <row r="24" spans="1:5" ht="15.75" x14ac:dyDescent="0.25">
      <c r="A24" s="8" t="s">
        <v>158</v>
      </c>
      <c r="D24" s="8">
        <f>SUM(D22:D23)</f>
        <v>372355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12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19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9787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12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20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63582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12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21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100000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12</v>
      </c>
      <c r="C2" s="10"/>
      <c r="D2" s="10"/>
      <c r="E2" s="10"/>
    </row>
    <row r="3" spans="1:5" x14ac:dyDescent="0.25">
      <c r="A3" t="s">
        <v>131</v>
      </c>
      <c r="B3" s="2">
        <v>41543</v>
      </c>
    </row>
    <row r="4" spans="1:5" x14ac:dyDescent="0.25">
      <c r="A4" t="s">
        <v>132</v>
      </c>
      <c r="B4" s="10" t="s">
        <v>22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41543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12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23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15000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12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24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30000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12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25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33710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12</v>
      </c>
      <c r="C2" s="10"/>
      <c r="D2" s="10"/>
      <c r="E2" s="10"/>
    </row>
    <row r="3" spans="1:5" x14ac:dyDescent="0.25">
      <c r="A3" t="s">
        <v>131</v>
      </c>
      <c r="B3" s="2">
        <v>21413</v>
      </c>
    </row>
    <row r="4" spans="1:5" x14ac:dyDescent="0.25">
      <c r="A4" t="s">
        <v>132</v>
      </c>
      <c r="B4" s="10" t="s">
        <v>26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21413</v>
      </c>
      <c r="E22" s="6"/>
    </row>
    <row r="23" spans="1:5" x14ac:dyDescent="0.25">
      <c r="A23" s="6">
        <v>2</v>
      </c>
      <c r="B23" s="6" t="s">
        <v>159</v>
      </c>
      <c r="C23" s="6" t="s">
        <v>157</v>
      </c>
      <c r="D23" s="7">
        <v>10000</v>
      </c>
      <c r="E23" s="6"/>
    </row>
    <row r="24" spans="1:5" ht="15.75" x14ac:dyDescent="0.25">
      <c r="A24" s="8" t="s">
        <v>158</v>
      </c>
      <c r="D24" s="8">
        <f>SUM(D22:D23)</f>
        <v>31413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12</v>
      </c>
      <c r="C2" s="10"/>
      <c r="D2" s="10"/>
      <c r="E2" s="10"/>
    </row>
    <row r="3" spans="1:5" x14ac:dyDescent="0.25">
      <c r="A3" t="s">
        <v>131</v>
      </c>
      <c r="B3" s="2">
        <v>5675</v>
      </c>
    </row>
    <row r="4" spans="1:5" x14ac:dyDescent="0.25">
      <c r="A4" t="s">
        <v>132</v>
      </c>
      <c r="B4" s="10" t="s">
        <v>27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5675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12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28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10000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12</v>
      </c>
      <c r="C2" s="10"/>
      <c r="D2" s="10"/>
      <c r="E2" s="10"/>
    </row>
    <row r="3" spans="1:5" x14ac:dyDescent="0.25">
      <c r="A3" t="s">
        <v>131</v>
      </c>
      <c r="B3" s="2">
        <v>172528</v>
      </c>
    </row>
    <row r="4" spans="1:5" x14ac:dyDescent="0.25">
      <c r="A4" t="s">
        <v>132</v>
      </c>
      <c r="B4" s="10" t="s">
        <v>11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172528</v>
      </c>
      <c r="E22" s="6"/>
    </row>
    <row r="23" spans="1:5" x14ac:dyDescent="0.25">
      <c r="A23" s="6">
        <v>2</v>
      </c>
      <c r="B23" s="6" t="s">
        <v>159</v>
      </c>
      <c r="C23" s="6" t="s">
        <v>157</v>
      </c>
      <c r="D23" s="7">
        <v>95000</v>
      </c>
      <c r="E23" s="6"/>
    </row>
    <row r="24" spans="1:5" ht="15.75" x14ac:dyDescent="0.25">
      <c r="A24" s="8" t="s">
        <v>158</v>
      </c>
      <c r="D24" s="8">
        <f>SUM(D22:D23)</f>
        <v>267528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29</v>
      </c>
      <c r="C2" s="10"/>
      <c r="D2" s="10"/>
      <c r="E2" s="10"/>
    </row>
    <row r="3" spans="1:5" x14ac:dyDescent="0.25">
      <c r="A3" t="s">
        <v>131</v>
      </c>
      <c r="B3" s="2">
        <v>2946</v>
      </c>
    </row>
    <row r="4" spans="1:5" x14ac:dyDescent="0.25">
      <c r="A4" t="s">
        <v>132</v>
      </c>
      <c r="B4" s="10" t="s">
        <v>30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2946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31</v>
      </c>
      <c r="C2" s="10"/>
      <c r="D2" s="10"/>
      <c r="E2" s="10"/>
    </row>
    <row r="3" spans="1:5" x14ac:dyDescent="0.25">
      <c r="A3" t="s">
        <v>131</v>
      </c>
      <c r="B3" s="2">
        <v>33436</v>
      </c>
    </row>
    <row r="4" spans="1:5" x14ac:dyDescent="0.25">
      <c r="A4" t="s">
        <v>132</v>
      </c>
      <c r="B4" s="10" t="s">
        <v>32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33436</v>
      </c>
      <c r="E22" s="6"/>
    </row>
    <row r="23" spans="1:5" x14ac:dyDescent="0.25">
      <c r="A23" s="6">
        <v>2</v>
      </c>
      <c r="B23" s="6" t="s">
        <v>159</v>
      </c>
      <c r="C23" s="6" t="s">
        <v>157</v>
      </c>
      <c r="D23" s="7">
        <v>20000</v>
      </c>
      <c r="E23" s="6"/>
    </row>
    <row r="24" spans="1:5" ht="15.75" x14ac:dyDescent="0.25">
      <c r="A24" s="8" t="s">
        <v>158</v>
      </c>
      <c r="D24" s="8">
        <f>SUM(D22:D23)</f>
        <v>53436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33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34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840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33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10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3349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35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36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10592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35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37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31774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35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38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20000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35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39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25294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35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25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10000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40</v>
      </c>
      <c r="C2" s="10"/>
      <c r="D2" s="10"/>
      <c r="E2" s="10"/>
    </row>
    <row r="3" spans="1:5" x14ac:dyDescent="0.25">
      <c r="A3" t="s">
        <v>131</v>
      </c>
      <c r="B3" s="2">
        <v>167620</v>
      </c>
    </row>
    <row r="4" spans="1:5" x14ac:dyDescent="0.25">
      <c r="A4" t="s">
        <v>132</v>
      </c>
      <c r="B4" s="10" t="s">
        <v>41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167620</v>
      </c>
      <c r="E22" s="6"/>
    </row>
    <row r="23" spans="1:5" x14ac:dyDescent="0.25">
      <c r="A23" s="6">
        <v>2</v>
      </c>
      <c r="B23" s="6" t="s">
        <v>159</v>
      </c>
      <c r="C23" s="6" t="s">
        <v>157</v>
      </c>
      <c r="D23" s="7">
        <v>160000</v>
      </c>
      <c r="E23" s="6"/>
    </row>
    <row r="24" spans="1:5" ht="15.75" x14ac:dyDescent="0.25">
      <c r="A24" s="8" t="s">
        <v>158</v>
      </c>
      <c r="D24" s="8">
        <f>SUM(D22:D23)</f>
        <v>327620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40</v>
      </c>
      <c r="C2" s="10"/>
      <c r="D2" s="10"/>
      <c r="E2" s="10"/>
    </row>
    <row r="3" spans="1:5" x14ac:dyDescent="0.25">
      <c r="A3" t="s">
        <v>131</v>
      </c>
      <c r="B3" s="2">
        <v>7057</v>
      </c>
    </row>
    <row r="4" spans="1:5" x14ac:dyDescent="0.25">
      <c r="A4" t="s">
        <v>132</v>
      </c>
      <c r="B4" s="10" t="s">
        <v>42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7057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40</v>
      </c>
      <c r="C2" s="10"/>
      <c r="D2" s="10"/>
      <c r="E2" s="10"/>
    </row>
    <row r="3" spans="1:5" x14ac:dyDescent="0.25">
      <c r="A3" t="s">
        <v>131</v>
      </c>
      <c r="B3" s="2">
        <v>15101</v>
      </c>
    </row>
    <row r="4" spans="1:5" x14ac:dyDescent="0.25">
      <c r="A4" t="s">
        <v>132</v>
      </c>
      <c r="B4" s="10" t="s">
        <v>36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15101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40</v>
      </c>
      <c r="C2" s="10"/>
      <c r="D2" s="10"/>
      <c r="E2" s="10"/>
    </row>
    <row r="3" spans="1:5" x14ac:dyDescent="0.25">
      <c r="A3" t="s">
        <v>131</v>
      </c>
      <c r="B3" s="2">
        <v>45304</v>
      </c>
    </row>
    <row r="4" spans="1:5" x14ac:dyDescent="0.25">
      <c r="A4" t="s">
        <v>132</v>
      </c>
      <c r="B4" s="10" t="s">
        <v>37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45304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40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43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5000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44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45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754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46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47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800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46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48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787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49</v>
      </c>
      <c r="C2" s="10"/>
      <c r="D2" s="10"/>
      <c r="E2" s="10"/>
    </row>
    <row r="3" spans="1:5" x14ac:dyDescent="0.25">
      <c r="A3" t="s">
        <v>131</v>
      </c>
      <c r="B3" s="2">
        <v>199389</v>
      </c>
    </row>
    <row r="4" spans="1:5" x14ac:dyDescent="0.25">
      <c r="A4" t="s">
        <v>132</v>
      </c>
      <c r="B4" s="10" t="s">
        <v>50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199389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49</v>
      </c>
      <c r="C2" s="10"/>
      <c r="D2" s="10"/>
      <c r="E2" s="10"/>
    </row>
    <row r="3" spans="1:5" x14ac:dyDescent="0.25">
      <c r="A3" t="s">
        <v>131</v>
      </c>
      <c r="B3" s="2">
        <v>185801</v>
      </c>
    </row>
    <row r="4" spans="1:5" x14ac:dyDescent="0.25">
      <c r="A4" t="s">
        <v>132</v>
      </c>
      <c r="B4" s="10" t="s">
        <v>51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185801</v>
      </c>
      <c r="E22" s="6"/>
    </row>
    <row r="23" spans="1:5" x14ac:dyDescent="0.25">
      <c r="A23" s="6">
        <v>2</v>
      </c>
      <c r="B23" s="6" t="s">
        <v>159</v>
      </c>
      <c r="C23" s="6" t="s">
        <v>157</v>
      </c>
      <c r="D23" s="7">
        <v>50000</v>
      </c>
      <c r="E23" s="6"/>
    </row>
    <row r="24" spans="1:5" ht="15.75" x14ac:dyDescent="0.25">
      <c r="A24" s="8" t="s">
        <v>158</v>
      </c>
      <c r="D24" s="8">
        <f>SUM(D22:D23)</f>
        <v>235801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52</v>
      </c>
      <c r="C2" s="10"/>
      <c r="D2" s="10"/>
      <c r="E2" s="10"/>
    </row>
    <row r="3" spans="1:5" x14ac:dyDescent="0.25">
      <c r="A3" t="s">
        <v>131</v>
      </c>
      <c r="B3" s="2">
        <v>18686</v>
      </c>
    </row>
    <row r="4" spans="1:5" x14ac:dyDescent="0.25">
      <c r="A4" t="s">
        <v>132</v>
      </c>
      <c r="B4" s="10" t="s">
        <v>53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18686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52</v>
      </c>
      <c r="C2" s="10"/>
      <c r="D2" s="10"/>
      <c r="E2" s="10"/>
    </row>
    <row r="3" spans="1:5" x14ac:dyDescent="0.25">
      <c r="A3" t="s">
        <v>131</v>
      </c>
      <c r="B3" s="2">
        <v>15106</v>
      </c>
    </row>
    <row r="4" spans="1:5" x14ac:dyDescent="0.25">
      <c r="A4" t="s">
        <v>132</v>
      </c>
      <c r="B4" s="10" t="s">
        <v>54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15106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52</v>
      </c>
      <c r="C2" s="10"/>
      <c r="D2" s="10"/>
      <c r="E2" s="10"/>
    </row>
    <row r="3" spans="1:5" x14ac:dyDescent="0.25">
      <c r="A3" t="s">
        <v>131</v>
      </c>
      <c r="B3" s="2">
        <v>2820</v>
      </c>
    </row>
    <row r="4" spans="1:5" x14ac:dyDescent="0.25">
      <c r="A4" t="s">
        <v>132</v>
      </c>
      <c r="B4" s="10" t="s">
        <v>55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2820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52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56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30000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52</v>
      </c>
      <c r="C2" s="10"/>
      <c r="D2" s="10"/>
      <c r="E2" s="10"/>
    </row>
    <row r="3" spans="1:5" x14ac:dyDescent="0.25">
      <c r="A3" t="s">
        <v>131</v>
      </c>
      <c r="B3" s="2">
        <v>7394</v>
      </c>
    </row>
    <row r="4" spans="1:5" x14ac:dyDescent="0.25">
      <c r="A4" t="s">
        <v>132</v>
      </c>
      <c r="B4" s="10" t="s">
        <v>11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7394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57</v>
      </c>
      <c r="C2" s="10"/>
      <c r="D2" s="10"/>
      <c r="E2" s="10"/>
    </row>
    <row r="3" spans="1:5" x14ac:dyDescent="0.25">
      <c r="A3" t="s">
        <v>131</v>
      </c>
      <c r="B3" s="2">
        <v>71059</v>
      </c>
    </row>
    <row r="4" spans="1:5" x14ac:dyDescent="0.25">
      <c r="A4" t="s">
        <v>132</v>
      </c>
      <c r="B4" s="10" t="s">
        <v>58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71059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59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60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14545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59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61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12967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59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62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8644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59</v>
      </c>
      <c r="C2" s="10"/>
      <c r="D2" s="10"/>
      <c r="E2" s="10"/>
    </row>
    <row r="3" spans="1:5" x14ac:dyDescent="0.25">
      <c r="A3" t="s">
        <v>131</v>
      </c>
      <c r="B3" s="2">
        <v>3450</v>
      </c>
    </row>
    <row r="4" spans="1:5" x14ac:dyDescent="0.25">
      <c r="A4" t="s">
        <v>132</v>
      </c>
      <c r="B4" s="10" t="s">
        <v>63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3450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64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11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458251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65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54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531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65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66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20000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65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67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13000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65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68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6000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65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69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4000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65</v>
      </c>
      <c r="C2" s="10"/>
      <c r="D2" s="10"/>
      <c r="E2" s="10"/>
    </row>
    <row r="3" spans="1:5" x14ac:dyDescent="0.25">
      <c r="A3" t="s">
        <v>131</v>
      </c>
      <c r="B3" s="2">
        <v>3003</v>
      </c>
    </row>
    <row r="4" spans="1:5" x14ac:dyDescent="0.25">
      <c r="A4" t="s">
        <v>132</v>
      </c>
      <c r="B4" s="10" t="s">
        <v>10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3003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65</v>
      </c>
      <c r="C2" s="10"/>
      <c r="D2" s="10"/>
      <c r="E2" s="10"/>
    </row>
    <row r="3" spans="1:5" x14ac:dyDescent="0.25">
      <c r="A3" t="s">
        <v>131</v>
      </c>
      <c r="B3" s="2">
        <v>13708</v>
      </c>
    </row>
    <row r="4" spans="1:5" x14ac:dyDescent="0.25">
      <c r="A4" t="s">
        <v>132</v>
      </c>
      <c r="B4" s="10" t="s">
        <v>11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13708</v>
      </c>
      <c r="E22" s="6"/>
    </row>
    <row r="23" spans="1:5" x14ac:dyDescent="0.25">
      <c r="A23" s="6">
        <v>2</v>
      </c>
      <c r="B23" s="6" t="s">
        <v>159</v>
      </c>
      <c r="C23" s="6" t="s">
        <v>157</v>
      </c>
      <c r="D23" s="7">
        <v>5305</v>
      </c>
      <c r="E23" s="6"/>
    </row>
    <row r="24" spans="1:5" ht="15.75" x14ac:dyDescent="0.25">
      <c r="A24" s="8" t="s">
        <v>158</v>
      </c>
      <c r="D24" s="8">
        <f>SUM(D22:D23)</f>
        <v>19013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70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71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30793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72</v>
      </c>
      <c r="C2" s="10"/>
      <c r="D2" s="10"/>
      <c r="E2" s="10"/>
    </row>
    <row r="3" spans="1:5" x14ac:dyDescent="0.25">
      <c r="A3" t="s">
        <v>131</v>
      </c>
      <c r="B3" s="2">
        <v>27848</v>
      </c>
    </row>
    <row r="4" spans="1:5" x14ac:dyDescent="0.25">
      <c r="A4" t="s">
        <v>132</v>
      </c>
      <c r="B4" s="10" t="s">
        <v>73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27848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74</v>
      </c>
      <c r="C2" s="10"/>
      <c r="D2" s="10"/>
      <c r="E2" s="10"/>
    </row>
    <row r="3" spans="1:5" x14ac:dyDescent="0.25">
      <c r="A3" t="s">
        <v>131</v>
      </c>
      <c r="B3" s="2">
        <v>5011</v>
      </c>
    </row>
    <row r="4" spans="1:5" x14ac:dyDescent="0.25">
      <c r="A4" t="s">
        <v>132</v>
      </c>
      <c r="B4" s="10" t="s">
        <v>75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5011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76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25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16850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77</v>
      </c>
      <c r="C2" s="10"/>
      <c r="D2" s="10"/>
      <c r="E2" s="10"/>
    </row>
    <row r="3" spans="1:5" x14ac:dyDescent="0.25">
      <c r="A3" t="s">
        <v>131</v>
      </c>
      <c r="B3" s="2">
        <v>19150</v>
      </c>
    </row>
    <row r="4" spans="1:5" x14ac:dyDescent="0.25">
      <c r="A4" t="s">
        <v>132</v>
      </c>
      <c r="B4" s="10" t="s">
        <v>11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19150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78</v>
      </c>
      <c r="C2" s="10"/>
      <c r="D2" s="10"/>
      <c r="E2" s="10"/>
    </row>
    <row r="3" spans="1:5" x14ac:dyDescent="0.25">
      <c r="A3" t="s">
        <v>131</v>
      </c>
      <c r="B3" s="2">
        <v>103607</v>
      </c>
    </row>
    <row r="4" spans="1:5" x14ac:dyDescent="0.25">
      <c r="A4" t="s">
        <v>132</v>
      </c>
      <c r="B4" s="10" t="s">
        <v>79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103607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80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11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24084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81</v>
      </c>
      <c r="C2" s="10"/>
      <c r="D2" s="10"/>
      <c r="E2" s="10"/>
    </row>
    <row r="3" spans="1:5" x14ac:dyDescent="0.25">
      <c r="A3" t="s">
        <v>131</v>
      </c>
      <c r="B3" s="2">
        <v>39000</v>
      </c>
    </row>
    <row r="4" spans="1:5" x14ac:dyDescent="0.25">
      <c r="A4" t="s">
        <v>132</v>
      </c>
      <c r="B4" s="10" t="s">
        <v>51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39000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82</v>
      </c>
      <c r="C2" s="10"/>
      <c r="D2" s="10"/>
      <c r="E2" s="10"/>
    </row>
    <row r="3" spans="1:5" x14ac:dyDescent="0.25">
      <c r="A3" t="s">
        <v>131</v>
      </c>
      <c r="B3" s="2">
        <v>5774</v>
      </c>
    </row>
    <row r="4" spans="1:5" x14ac:dyDescent="0.25">
      <c r="A4" t="s">
        <v>132</v>
      </c>
      <c r="B4" s="10" t="s">
        <v>83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5774</v>
      </c>
      <c r="E22" s="6"/>
    </row>
    <row r="23" spans="1:5" x14ac:dyDescent="0.25">
      <c r="A23" s="6">
        <v>2</v>
      </c>
      <c r="B23" s="6" t="s">
        <v>159</v>
      </c>
      <c r="C23" s="6" t="s">
        <v>157</v>
      </c>
      <c r="D23" s="7">
        <v>86748</v>
      </c>
      <c r="E23" s="6"/>
    </row>
    <row r="24" spans="1:5" ht="15.75" x14ac:dyDescent="0.25">
      <c r="A24" s="8" t="s">
        <v>158</v>
      </c>
      <c r="D24" s="8">
        <f>SUM(D22:D23)</f>
        <v>92522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84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85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189453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86</v>
      </c>
      <c r="C2" s="10"/>
      <c r="D2" s="10"/>
      <c r="E2" s="10"/>
    </row>
    <row r="3" spans="1:5" x14ac:dyDescent="0.25">
      <c r="A3" t="s">
        <v>131</v>
      </c>
      <c r="B3" s="2">
        <v>51566</v>
      </c>
    </row>
    <row r="4" spans="1:5" x14ac:dyDescent="0.25">
      <c r="A4" t="s">
        <v>132</v>
      </c>
      <c r="B4" s="10" t="s">
        <v>87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51566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86</v>
      </c>
      <c r="C2" s="10"/>
      <c r="D2" s="10"/>
      <c r="E2" s="10"/>
    </row>
    <row r="3" spans="1:5" x14ac:dyDescent="0.25">
      <c r="A3" t="s">
        <v>131</v>
      </c>
      <c r="B3" s="2">
        <v>74707</v>
      </c>
    </row>
    <row r="4" spans="1:5" x14ac:dyDescent="0.25">
      <c r="A4" t="s">
        <v>132</v>
      </c>
      <c r="B4" s="10" t="s">
        <v>88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74707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86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89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19395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90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91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20000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90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92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3994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90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93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3997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90</v>
      </c>
      <c r="C2" s="10"/>
      <c r="D2" s="10"/>
      <c r="E2" s="10"/>
    </row>
    <row r="3" spans="1:5" x14ac:dyDescent="0.25">
      <c r="A3" t="s">
        <v>131</v>
      </c>
      <c r="B3" s="2">
        <v>21700</v>
      </c>
    </row>
    <row r="4" spans="1:5" x14ac:dyDescent="0.25">
      <c r="A4" t="s">
        <v>132</v>
      </c>
      <c r="B4" s="10" t="s">
        <v>11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21700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94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95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2000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94</v>
      </c>
      <c r="C2" s="10"/>
      <c r="D2" s="10"/>
      <c r="E2" s="10"/>
    </row>
    <row r="3" spans="1:5" x14ac:dyDescent="0.25">
      <c r="A3" t="s">
        <v>131</v>
      </c>
      <c r="B3" s="2">
        <v>7312</v>
      </c>
    </row>
    <row r="4" spans="1:5" x14ac:dyDescent="0.25">
      <c r="A4" t="s">
        <v>132</v>
      </c>
      <c r="B4" s="10" t="s">
        <v>96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7312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94</v>
      </c>
      <c r="C2" s="10"/>
      <c r="D2" s="10"/>
      <c r="E2" s="10"/>
    </row>
    <row r="3" spans="1:5" x14ac:dyDescent="0.25">
      <c r="A3" t="s">
        <v>131</v>
      </c>
      <c r="B3" s="2">
        <v>14733</v>
      </c>
    </row>
    <row r="4" spans="1:5" x14ac:dyDescent="0.25">
      <c r="A4" t="s">
        <v>132</v>
      </c>
      <c r="B4" s="10" t="s">
        <v>97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14733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94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98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7410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94</v>
      </c>
      <c r="C2" s="10"/>
      <c r="D2" s="10"/>
      <c r="E2" s="10"/>
    </row>
    <row r="3" spans="1:5" x14ac:dyDescent="0.25">
      <c r="A3" t="s">
        <v>131</v>
      </c>
      <c r="B3" s="2">
        <v>34907</v>
      </c>
    </row>
    <row r="4" spans="1:5" x14ac:dyDescent="0.25">
      <c r="A4" t="s">
        <v>132</v>
      </c>
      <c r="B4" s="10" t="s">
        <v>11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34907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99</v>
      </c>
      <c r="C2" s="10"/>
      <c r="D2" s="10"/>
      <c r="E2" s="10"/>
    </row>
    <row r="3" spans="1:5" x14ac:dyDescent="0.25">
      <c r="A3" t="s">
        <v>131</v>
      </c>
      <c r="B3" s="2">
        <v>20932</v>
      </c>
    </row>
    <row r="4" spans="1:5" x14ac:dyDescent="0.25">
      <c r="A4" t="s">
        <v>132</v>
      </c>
      <c r="B4" s="10" t="s">
        <v>50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20932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99</v>
      </c>
      <c r="C2" s="10"/>
      <c r="D2" s="10"/>
      <c r="E2" s="10"/>
    </row>
    <row r="3" spans="1:5" x14ac:dyDescent="0.25">
      <c r="A3" t="s">
        <v>131</v>
      </c>
      <c r="B3" s="2">
        <v>5266</v>
      </c>
    </row>
    <row r="4" spans="1:5" x14ac:dyDescent="0.25">
      <c r="A4" t="s">
        <v>132</v>
      </c>
      <c r="B4" s="10" t="s">
        <v>51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5266</v>
      </c>
      <c r="E22" s="6"/>
    </row>
    <row r="23" spans="1:5" x14ac:dyDescent="0.25">
      <c r="A23" s="6">
        <v>2</v>
      </c>
      <c r="B23" s="6" t="s">
        <v>159</v>
      </c>
      <c r="C23" s="6" t="s">
        <v>157</v>
      </c>
      <c r="D23" s="7">
        <v>15000</v>
      </c>
      <c r="E23" s="6"/>
    </row>
    <row r="24" spans="1:5" ht="15.75" x14ac:dyDescent="0.25">
      <c r="A24" s="8" t="s">
        <v>158</v>
      </c>
      <c r="D24" s="8">
        <f>SUM(D22:D23)</f>
        <v>20266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100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101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50000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100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102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10000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103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79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25321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104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85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50000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104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105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50000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106</v>
      </c>
      <c r="C2" s="10"/>
      <c r="D2" s="10"/>
      <c r="E2" s="10"/>
    </row>
    <row r="3" spans="1:5" x14ac:dyDescent="0.25">
      <c r="A3" t="s">
        <v>131</v>
      </c>
      <c r="B3" s="2">
        <v>93085</v>
      </c>
    </row>
    <row r="4" spans="1:5" x14ac:dyDescent="0.25">
      <c r="A4" t="s">
        <v>132</v>
      </c>
      <c r="B4" s="10" t="s">
        <v>107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93085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108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36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2350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108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37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7052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108</v>
      </c>
      <c r="C2" s="10"/>
      <c r="D2" s="10"/>
      <c r="E2" s="10"/>
    </row>
    <row r="3" spans="1:5" x14ac:dyDescent="0.25">
      <c r="A3" t="s">
        <v>131</v>
      </c>
      <c r="B3" s="2">
        <v>14552</v>
      </c>
    </row>
    <row r="4" spans="1:5" x14ac:dyDescent="0.25">
      <c r="A4" t="s">
        <v>132</v>
      </c>
      <c r="B4" s="10" t="s">
        <v>109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14552</v>
      </c>
      <c r="E22" s="6"/>
    </row>
    <row r="23" spans="1:5" x14ac:dyDescent="0.25">
      <c r="A23" s="6">
        <v>2</v>
      </c>
      <c r="B23" s="6" t="s">
        <v>159</v>
      </c>
      <c r="C23" s="6" t="s">
        <v>157</v>
      </c>
      <c r="D23" s="7">
        <v>20000</v>
      </c>
      <c r="E23" s="6"/>
    </row>
    <row r="24" spans="1:5" ht="15.75" x14ac:dyDescent="0.25">
      <c r="A24" s="8" t="s">
        <v>158</v>
      </c>
      <c r="D24" s="8">
        <f>SUM(D22:D23)</f>
        <v>34552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108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110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5000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108</v>
      </c>
      <c r="C2" s="10"/>
      <c r="D2" s="10"/>
      <c r="E2" s="10"/>
    </row>
    <row r="3" spans="1:5" x14ac:dyDescent="0.25">
      <c r="A3" t="s">
        <v>131</v>
      </c>
      <c r="B3" s="2">
        <v>30497</v>
      </c>
    </row>
    <row r="4" spans="1:5" x14ac:dyDescent="0.25">
      <c r="A4" t="s">
        <v>132</v>
      </c>
      <c r="B4" s="10" t="s">
        <v>111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30497</v>
      </c>
      <c r="E22" s="6"/>
    </row>
    <row r="23" spans="1:5" x14ac:dyDescent="0.25">
      <c r="A23" s="6">
        <v>2</v>
      </c>
      <c r="B23" s="6" t="s">
        <v>159</v>
      </c>
      <c r="C23" s="6" t="s">
        <v>157</v>
      </c>
      <c r="D23" s="7">
        <v>35000</v>
      </c>
      <c r="E23" s="6"/>
    </row>
    <row r="24" spans="1:5" ht="15.75" x14ac:dyDescent="0.25">
      <c r="A24" s="8" t="s">
        <v>158</v>
      </c>
      <c r="D24" s="8">
        <f>SUM(D22:D23)</f>
        <v>65497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112</v>
      </c>
      <c r="C2" s="10"/>
      <c r="D2" s="10"/>
      <c r="E2" s="10"/>
    </row>
    <row r="3" spans="1:5" x14ac:dyDescent="0.25">
      <c r="A3" t="s">
        <v>131</v>
      </c>
      <c r="B3" s="2">
        <v>11890</v>
      </c>
    </row>
    <row r="4" spans="1:5" x14ac:dyDescent="0.25">
      <c r="A4" t="s">
        <v>132</v>
      </c>
      <c r="B4" s="10" t="s">
        <v>113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11890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112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114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50000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112</v>
      </c>
      <c r="C2" s="10"/>
      <c r="D2" s="10"/>
      <c r="E2" s="10"/>
    </row>
    <row r="3" spans="1:5" x14ac:dyDescent="0.25">
      <c r="A3" t="s">
        <v>131</v>
      </c>
      <c r="B3" s="2">
        <v>32084</v>
      </c>
    </row>
    <row r="4" spans="1:5" x14ac:dyDescent="0.25">
      <c r="A4" t="s">
        <v>132</v>
      </c>
      <c r="B4" s="10" t="s">
        <v>115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32084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112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116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31636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112</v>
      </c>
      <c r="C2" s="10"/>
      <c r="D2" s="10"/>
      <c r="E2" s="10"/>
    </row>
    <row r="3" spans="1:5" x14ac:dyDescent="0.25">
      <c r="A3" t="s">
        <v>131</v>
      </c>
      <c r="B3" s="2">
        <v>1863</v>
      </c>
    </row>
    <row r="4" spans="1:5" x14ac:dyDescent="0.25">
      <c r="A4" t="s">
        <v>132</v>
      </c>
      <c r="B4" s="10" t="s">
        <v>55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1863</v>
      </c>
      <c r="E22" s="6"/>
    </row>
    <row r="23" spans="1:5" x14ac:dyDescent="0.25">
      <c r="A23" s="6">
        <v>2</v>
      </c>
      <c r="B23" s="6" t="s">
        <v>159</v>
      </c>
      <c r="C23" s="6" t="s">
        <v>157</v>
      </c>
      <c r="D23" s="7">
        <v>5000</v>
      </c>
      <c r="E23" s="6"/>
    </row>
    <row r="24" spans="1:5" ht="15.75" x14ac:dyDescent="0.25">
      <c r="A24" s="8" t="s">
        <v>158</v>
      </c>
      <c r="D24" s="8">
        <f>SUM(D22:D23)</f>
        <v>6863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112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117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15000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112</v>
      </c>
      <c r="C2" s="10"/>
      <c r="D2" s="10"/>
      <c r="E2" s="10"/>
    </row>
    <row r="3" spans="1:5" x14ac:dyDescent="0.25">
      <c r="A3" t="s">
        <v>131</v>
      </c>
      <c r="B3" s="2">
        <v>7020</v>
      </c>
    </row>
    <row r="4" spans="1:5" x14ac:dyDescent="0.25">
      <c r="A4" t="s">
        <v>132</v>
      </c>
      <c r="B4" s="10" t="s">
        <v>118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7020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112</v>
      </c>
      <c r="C2" s="10"/>
      <c r="D2" s="10"/>
      <c r="E2" s="10"/>
    </row>
    <row r="3" spans="1:5" x14ac:dyDescent="0.25">
      <c r="A3" t="s">
        <v>131</v>
      </c>
      <c r="B3" s="2">
        <v>14430</v>
      </c>
    </row>
    <row r="4" spans="1:5" x14ac:dyDescent="0.25">
      <c r="A4" t="s">
        <v>132</v>
      </c>
      <c r="B4" s="10" t="s">
        <v>47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14430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112</v>
      </c>
      <c r="C2" s="10"/>
      <c r="D2" s="10"/>
      <c r="E2" s="10"/>
    </row>
    <row r="3" spans="1:5" x14ac:dyDescent="0.25">
      <c r="A3" t="s">
        <v>131</v>
      </c>
      <c r="B3" s="2">
        <v>6451</v>
      </c>
    </row>
    <row r="4" spans="1:5" x14ac:dyDescent="0.25">
      <c r="A4" t="s">
        <v>132</v>
      </c>
      <c r="B4" s="10" t="s">
        <v>119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6451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112</v>
      </c>
      <c r="C2" s="10"/>
      <c r="D2" s="10"/>
      <c r="E2" s="10"/>
    </row>
    <row r="3" spans="1:5" x14ac:dyDescent="0.25">
      <c r="A3" t="s">
        <v>131</v>
      </c>
      <c r="B3" s="2">
        <v>7605</v>
      </c>
    </row>
    <row r="4" spans="1:5" x14ac:dyDescent="0.25">
      <c r="A4" t="s">
        <v>132</v>
      </c>
      <c r="B4" s="10" t="s">
        <v>120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7605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112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121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25871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112</v>
      </c>
      <c r="C2" s="10"/>
      <c r="D2" s="10"/>
      <c r="E2" s="10"/>
    </row>
    <row r="3" spans="1:5" x14ac:dyDescent="0.25">
      <c r="A3" t="s">
        <v>131</v>
      </c>
      <c r="B3" s="2">
        <v>4510</v>
      </c>
    </row>
    <row r="4" spans="1:5" x14ac:dyDescent="0.25">
      <c r="A4" t="s">
        <v>132</v>
      </c>
      <c r="B4" s="10" t="s">
        <v>122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4510</v>
      </c>
      <c r="E22" s="6"/>
    </row>
    <row r="23" spans="1:5" x14ac:dyDescent="0.25">
      <c r="A23" s="6">
        <v>2</v>
      </c>
      <c r="B23" s="6" t="s">
        <v>159</v>
      </c>
      <c r="C23" s="6" t="s">
        <v>157</v>
      </c>
      <c r="D23" s="7">
        <v>14665</v>
      </c>
      <c r="E23" s="6"/>
    </row>
    <row r="24" spans="1:5" ht="15.75" x14ac:dyDescent="0.25">
      <c r="A24" s="8" t="s">
        <v>158</v>
      </c>
      <c r="D24" s="8">
        <f>SUM(D22:D23)</f>
        <v>19175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112</v>
      </c>
      <c r="C2" s="10"/>
      <c r="D2" s="10"/>
      <c r="E2" s="10"/>
    </row>
    <row r="3" spans="1:5" x14ac:dyDescent="0.25">
      <c r="A3" t="s">
        <v>131</v>
      </c>
      <c r="B3" s="2">
        <v>22507</v>
      </c>
    </row>
    <row r="4" spans="1:5" x14ac:dyDescent="0.25">
      <c r="A4" t="s">
        <v>132</v>
      </c>
      <c r="B4" s="10" t="s">
        <v>11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22507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123</v>
      </c>
      <c r="C2" s="10"/>
      <c r="D2" s="10"/>
      <c r="E2" s="10"/>
    </row>
    <row r="3" spans="1:5" x14ac:dyDescent="0.25">
      <c r="A3" t="s">
        <v>131</v>
      </c>
      <c r="B3" s="2">
        <v>1303</v>
      </c>
    </row>
    <row r="4" spans="1:5" x14ac:dyDescent="0.25">
      <c r="A4" t="s">
        <v>132</v>
      </c>
      <c r="B4" s="10" t="s">
        <v>124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1</v>
      </c>
      <c r="B22" s="6" t="s">
        <v>156</v>
      </c>
      <c r="C22" s="6" t="s">
        <v>157</v>
      </c>
      <c r="D22" s="7">
        <v>1303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123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125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20000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/>
  </sheetViews>
  <sheetFormatPr defaultRowHeight="15" x14ac:dyDescent="0.25"/>
  <cols>
    <col min="1" max="1" width="20" customWidth="1"/>
    <col min="2" max="2" width="30" customWidth="1"/>
    <col min="3" max="3" width="25" customWidth="1"/>
    <col min="4" max="4" width="15" customWidth="1"/>
    <col min="5" max="5" width="20" customWidth="1"/>
  </cols>
  <sheetData>
    <row r="1" spans="1:5" ht="21" x14ac:dyDescent="0.35">
      <c r="A1" s="11" t="s">
        <v>129</v>
      </c>
      <c r="B1" s="10"/>
      <c r="C1" s="10"/>
      <c r="D1" s="10"/>
      <c r="E1" s="10"/>
    </row>
    <row r="2" spans="1:5" x14ac:dyDescent="0.25">
      <c r="A2" t="s">
        <v>130</v>
      </c>
      <c r="B2" s="10" t="s">
        <v>126</v>
      </c>
      <c r="C2" s="10"/>
      <c r="D2" s="10"/>
      <c r="E2" s="10"/>
    </row>
    <row r="3" spans="1:5" x14ac:dyDescent="0.25">
      <c r="A3" t="s">
        <v>131</v>
      </c>
      <c r="B3" s="2">
        <v>0</v>
      </c>
    </row>
    <row r="4" spans="1:5" x14ac:dyDescent="0.25">
      <c r="A4" t="s">
        <v>132</v>
      </c>
      <c r="B4" s="10" t="s">
        <v>127</v>
      </c>
      <c r="C4" s="10"/>
      <c r="D4" s="10"/>
      <c r="E4" s="10"/>
    </row>
    <row r="5" spans="1:5" x14ac:dyDescent="0.25">
      <c r="A5" t="s">
        <v>133</v>
      </c>
      <c r="B5" s="4" t="s">
        <v>134</v>
      </c>
    </row>
    <row r="6" spans="1:5" x14ac:dyDescent="0.25">
      <c r="A6" t="s">
        <v>135</v>
      </c>
    </row>
    <row r="7" spans="1:5" x14ac:dyDescent="0.25">
      <c r="A7" t="s">
        <v>136</v>
      </c>
    </row>
    <row r="8" spans="1:5" x14ac:dyDescent="0.25">
      <c r="A8" t="s">
        <v>137</v>
      </c>
    </row>
    <row r="9" spans="1:5" x14ac:dyDescent="0.25">
      <c r="A9" t="s">
        <v>138</v>
      </c>
    </row>
    <row r="10" spans="1:5" x14ac:dyDescent="0.25">
      <c r="A10" t="s">
        <v>139</v>
      </c>
    </row>
    <row r="11" spans="1:5" x14ac:dyDescent="0.25">
      <c r="A11" t="s">
        <v>140</v>
      </c>
    </row>
    <row r="12" spans="1:5" x14ac:dyDescent="0.25">
      <c r="A12" t="s">
        <v>141</v>
      </c>
    </row>
    <row r="13" spans="1:5" x14ac:dyDescent="0.25">
      <c r="A13" t="s">
        <v>142</v>
      </c>
      <c r="B13" t="s">
        <v>143</v>
      </c>
    </row>
    <row r="14" spans="1:5" x14ac:dyDescent="0.25">
      <c r="A14" t="s">
        <v>144</v>
      </c>
      <c r="B14" t="s">
        <v>145</v>
      </c>
    </row>
    <row r="15" spans="1:5" x14ac:dyDescent="0.25">
      <c r="A15" t="s">
        <v>146</v>
      </c>
      <c r="B15" t="s">
        <v>145</v>
      </c>
    </row>
    <row r="16" spans="1:5" x14ac:dyDescent="0.25">
      <c r="A16" t="s">
        <v>147</v>
      </c>
    </row>
    <row r="17" spans="1:5" x14ac:dyDescent="0.25">
      <c r="A17" t="s">
        <v>148</v>
      </c>
    </row>
    <row r="18" spans="1:5" x14ac:dyDescent="0.25">
      <c r="A18" t="s">
        <v>149</v>
      </c>
    </row>
    <row r="20" spans="1:5" ht="15.75" x14ac:dyDescent="0.25">
      <c r="A20" s="9" t="s">
        <v>150</v>
      </c>
      <c r="B20" s="10"/>
      <c r="C20" s="10"/>
      <c r="D20" s="10"/>
      <c r="E20" s="10"/>
    </row>
    <row r="21" spans="1:5" ht="15.75" x14ac:dyDescent="0.25">
      <c r="A21" s="5" t="s">
        <v>151</v>
      </c>
      <c r="B21" s="5" t="s">
        <v>152</v>
      </c>
      <c r="C21" s="5" t="s">
        <v>153</v>
      </c>
      <c r="D21" s="5" t="s">
        <v>154</v>
      </c>
      <c r="E21" s="5" t="s">
        <v>155</v>
      </c>
    </row>
    <row r="22" spans="1:5" x14ac:dyDescent="0.25">
      <c r="A22" s="6">
        <v>2</v>
      </c>
      <c r="B22" s="6" t="s">
        <v>159</v>
      </c>
      <c r="C22" s="6" t="s">
        <v>157</v>
      </c>
      <c r="D22" s="7">
        <v>4206</v>
      </c>
      <c r="E22" s="6"/>
    </row>
    <row r="23" spans="1:5" ht="15.75" x14ac:dyDescent="0.25">
      <c r="A23" s="8" t="s">
        <v>158</v>
      </c>
      <c r="D23" s="8">
        <f>SUM(D21:D21)</f>
        <v>0</v>
      </c>
    </row>
  </sheetData>
  <mergeCells count="4">
    <mergeCell ref="A20:E20"/>
    <mergeCell ref="A1:E1"/>
    <mergeCell ref="B2:E2"/>
    <mergeCell ref="B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111</vt:i4>
      </vt:variant>
    </vt:vector>
  </HeadingPairs>
  <TitlesOfParts>
    <vt:vector size="111" baseType="lpstr">
      <vt:lpstr>Summary</vt:lpstr>
      <vt:lpstr>Abhinav Enginee Ef in 2 N</vt:lpstr>
      <vt:lpstr>Abhinav Enginee Ef in ASJ</vt:lpstr>
      <vt:lpstr>Abhinav Enginee Ef in new</vt:lpstr>
      <vt:lpstr>Abhinav Enginee PWD-21-Mts</vt:lpstr>
      <vt:lpstr>Abhinav Enginee Various Wo</vt:lpstr>
      <vt:lpstr>Arun Electrical Cableing w</vt:lpstr>
      <vt:lpstr>Arun Electrical Ef in 200</vt:lpstr>
      <vt:lpstr>Arun Electrical Ef in Cou</vt:lpstr>
      <vt:lpstr>Arun Electrical Ef in Fam</vt:lpstr>
      <vt:lpstr>Arun Electrical Ef in Gen</vt:lpstr>
      <vt:lpstr>Arun Electrical Ef in Mod</vt:lpstr>
      <vt:lpstr>Arun Electrical Ef in Mod_1</vt:lpstr>
      <vt:lpstr>Arun Electrical Ef in Mod_2</vt:lpstr>
      <vt:lpstr>Arun Electrical Ef in Sub</vt:lpstr>
      <vt:lpstr>Arun Electrical Ef in Sub_1</vt:lpstr>
      <vt:lpstr>Arun Electrical Ef in Vet</vt:lpstr>
      <vt:lpstr>Arun Electrical EF Work a</vt:lpstr>
      <vt:lpstr>Arun Electrical EF work i</vt:lpstr>
      <vt:lpstr>Arun Electrical Ef work i1</vt:lpstr>
      <vt:lpstr>Arun Electrical Electric R</vt:lpstr>
      <vt:lpstr>Arun Electrical Street lig</vt:lpstr>
      <vt:lpstr>Arun Electrical Various Wo</vt:lpstr>
      <vt:lpstr>Ashapura Electr Ef in Vat</vt:lpstr>
      <vt:lpstr>Balaji Refrigea Ef work i</vt:lpstr>
      <vt:lpstr>G L ELECTRIC WO Ef in DIG</vt:lpstr>
      <vt:lpstr>G L ELECTRIC WO PWD-21-Mts</vt:lpstr>
      <vt:lpstr>Gupta Redio and Ef in Cou</vt:lpstr>
      <vt:lpstr>Gupta Redio and Ef in Cou_1</vt:lpstr>
      <vt:lpstr>Gupta Redio and Ef in Ekl</vt:lpstr>
      <vt:lpstr>Gupta Redio and Ef in Mod</vt:lpstr>
      <vt:lpstr>Gupta Redio and EF work i</vt:lpstr>
      <vt:lpstr>H M Engineers Ef and Re</vt:lpstr>
      <vt:lpstr>H M Engineers Ef in Aud</vt:lpstr>
      <vt:lpstr>H M Engineers Ef in Cou</vt:lpstr>
      <vt:lpstr>H M Engineers Ef in Cou_1</vt:lpstr>
      <vt:lpstr>H M Engineers Removing</vt:lpstr>
      <vt:lpstr>Kartik Traders Ef in Vid</vt:lpstr>
      <vt:lpstr>Kataria Electri Ef in V a</vt:lpstr>
      <vt:lpstr>Kataria Electri EF work v</vt:lpstr>
      <vt:lpstr>KHATRI ELECTRIC EW in New</vt:lpstr>
      <vt:lpstr>KHATRI ELECTRIC Electric w</vt:lpstr>
      <vt:lpstr>Krim Engineerin Ef in APP</vt:lpstr>
      <vt:lpstr>Krim Engineerin Ef in I a</vt:lpstr>
      <vt:lpstr>Krim Engineerin Ef in III</vt:lpstr>
      <vt:lpstr>Krim Engineerin Ef in Res</vt:lpstr>
      <vt:lpstr>Krim Engineerin Various Wo</vt:lpstr>
      <vt:lpstr>MANDORE FIRE SA AMC of Fir</vt:lpstr>
      <vt:lpstr>Maruji Traders Ef in Mod</vt:lpstr>
      <vt:lpstr>Maruji Traders Ef in New</vt:lpstr>
      <vt:lpstr>Maruji Traders Ef in New_1</vt:lpstr>
      <vt:lpstr>Maruji Traders Ef JSI Wa</vt:lpstr>
      <vt:lpstr>Metro Internati Various Wo</vt:lpstr>
      <vt:lpstr>Mitul Enterpris Ef in I a</vt:lpstr>
      <vt:lpstr>Mitul Enterpris Ef in New</vt:lpstr>
      <vt:lpstr>Mitul Enterpris Ef in Van</vt:lpstr>
      <vt:lpstr>Mitul Enterpris EF of II</vt:lpstr>
      <vt:lpstr>Mitul Enterpris EF of Res</vt:lpstr>
      <vt:lpstr>Mitul Enterpris PWD-21-Mts</vt:lpstr>
      <vt:lpstr>Mitul Enterpris Various Wo</vt:lpstr>
      <vt:lpstr>MLR Traders Ef in New</vt:lpstr>
      <vt:lpstr>NARESH ELECTRIC Ef in New</vt:lpstr>
      <vt:lpstr>National Electr Replacemen</vt:lpstr>
      <vt:lpstr>Navyug Engineer EF work i</vt:lpstr>
      <vt:lpstr>Neha Electric Various Wo</vt:lpstr>
      <vt:lpstr>New Choudhary E Ef in Raj</vt:lpstr>
      <vt:lpstr>Nutan Electrica Various Wo</vt:lpstr>
      <vt:lpstr>Omega Elevators Electric w</vt:lpstr>
      <vt:lpstr>R S Enterprises Electrific</vt:lpstr>
      <vt:lpstr>Rajputana Elect Ef in Lec</vt:lpstr>
      <vt:lpstr>Riddhi siddhi E Ef work i</vt:lpstr>
      <vt:lpstr>Riddhi siddhi E Electrific</vt:lpstr>
      <vt:lpstr>Riddhi siddhi E Street lig</vt:lpstr>
      <vt:lpstr>Satguru Electri Ef in Cou</vt:lpstr>
      <vt:lpstr>Satguru Electri Ef in Sub</vt:lpstr>
      <vt:lpstr>Satguru Electri Ef In VVP</vt:lpstr>
      <vt:lpstr>Satguru Electri Various Wo</vt:lpstr>
      <vt:lpstr>Seema Electrica Ef in 2 N</vt:lpstr>
      <vt:lpstr>Seema Electrica Ef in 3rd</vt:lpstr>
      <vt:lpstr>Seema Electrica Ef in Ist</vt:lpstr>
      <vt:lpstr>Seema Electrica Ef in Lab</vt:lpstr>
      <vt:lpstr>Seema Electrica Various Wo</vt:lpstr>
      <vt:lpstr>Sheetal Refrige EW in New</vt:lpstr>
      <vt:lpstr>Sheetal Refrige Electric w</vt:lpstr>
      <vt:lpstr>Shiv Electrical Ef in Sub</vt:lpstr>
      <vt:lpstr>Shiv Electrical Ef in Sub_1</vt:lpstr>
      <vt:lpstr>Shreeji Enterpr Ef in Raj</vt:lpstr>
      <vt:lpstr>Shubham Electri Ef in Lec</vt:lpstr>
      <vt:lpstr>Shubham Electri Ef in New</vt:lpstr>
      <vt:lpstr>Smart Traffic S Am of Tra</vt:lpstr>
      <vt:lpstr>Varsha Enterpri Ef in Cou</vt:lpstr>
      <vt:lpstr>Varsha Enterpri Ef in Cou_1</vt:lpstr>
      <vt:lpstr>Varsha Enterpri Ef in Dis</vt:lpstr>
      <vt:lpstr>Varsha Enterpri Ef in PHE</vt:lpstr>
      <vt:lpstr>Varsha Enterpri SITC of Va</vt:lpstr>
      <vt:lpstr>Vikas Enterpris Cabling an</vt:lpstr>
      <vt:lpstr>Vikas Enterpris Ef in 50</vt:lpstr>
      <vt:lpstr>Vikas Enterpris Ef in Com</vt:lpstr>
      <vt:lpstr>Vikas Enterpris Ef in Hig</vt:lpstr>
      <vt:lpstr>Vikas Enterpris Ef in III</vt:lpstr>
      <vt:lpstr>Vikas Enterpris Ef in SDO</vt:lpstr>
      <vt:lpstr>Vikas Enterpris Ef in Teh</vt:lpstr>
      <vt:lpstr>Vikas Enterpris Ef in V a</vt:lpstr>
      <vt:lpstr>Vikas Enterpris Elect Rep</vt:lpstr>
      <vt:lpstr>Vikas Enterpris Electric A</vt:lpstr>
      <vt:lpstr>Vikas Enterpris Electric c</vt:lpstr>
      <vt:lpstr>Vikas Enterpris Jan Swasth</vt:lpstr>
      <vt:lpstr>Vikas Enterpris Various Wo</vt:lpstr>
      <vt:lpstr>Vikram Enterpri Earthing r</vt:lpstr>
      <vt:lpstr>Vikram Enterpri SITC of DG</vt:lpstr>
      <vt:lpstr>Vimal Electrica Ef in 55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Rajkumar</cp:lastModifiedBy>
  <dcterms:created xsi:type="dcterms:W3CDTF">2025-09-05T06:55:22Z</dcterms:created>
  <dcterms:modified xsi:type="dcterms:W3CDTF">2025-09-09T12:54:09Z</dcterms:modified>
</cp:coreProperties>
</file>